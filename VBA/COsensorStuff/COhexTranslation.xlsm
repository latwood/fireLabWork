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Loren\Desktop\COsensorStuff\"/>
    </mc:Choice>
  </mc:AlternateContent>
  <bookViews>
    <workbookView xWindow="0" yWindow="0" windowWidth="24000" windowHeight="12210" firstSheet="8" activeTab="11"/>
  </bookViews>
  <sheets>
    <sheet name="RxVar" sheetId="8" r:id="rId1"/>
    <sheet name="trial1run1" sheetId="6" r:id="rId2"/>
    <sheet name="trial1run1-hand" sheetId="118" r:id="rId3"/>
    <sheet name="trial1run1Copy" sheetId="114" r:id="rId4"/>
    <sheet name="trial1run2" sheetId="9" r:id="rId5"/>
    <sheet name="trial1run2Copy" sheetId="115" r:id="rId6"/>
    <sheet name="trial2run1" sheetId="10" r:id="rId7"/>
    <sheet name="trial2run1Copy" sheetId="116" r:id="rId8"/>
    <sheet name="trial3run1-oldCalibration" sheetId="22" r:id="rId9"/>
    <sheet name="trial3run1" sheetId="23" r:id="rId10"/>
    <sheet name="trial3run1Copy" sheetId="117" r:id="rId11"/>
    <sheet name="lastTrial" sheetId="119" r:id="rId12"/>
    <sheet name="lastTrialCopy" sheetId="121" r:id="rId1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Q47" i="118" l="1"/>
  <c r="AP47" i="118"/>
  <c r="AQ45" i="118"/>
  <c r="AP45" i="118"/>
  <c r="AQ43" i="118"/>
  <c r="AP43" i="118"/>
  <c r="AQ41" i="118"/>
  <c r="AP41" i="118"/>
  <c r="AQ39" i="118"/>
  <c r="AP39" i="118"/>
  <c r="AQ32" i="118"/>
  <c r="AP32" i="118"/>
  <c r="AQ30" i="118"/>
  <c r="AP30" i="118"/>
  <c r="AQ28" i="118"/>
  <c r="AP28" i="118"/>
  <c r="AQ26" i="118"/>
  <c r="AP26" i="118"/>
  <c r="AQ24" i="118"/>
  <c r="AP24" i="118"/>
  <c r="AH47" i="118"/>
  <c r="AG47" i="118"/>
  <c r="AH45" i="118"/>
  <c r="AG45" i="118"/>
  <c r="AH43" i="118"/>
  <c r="AG43" i="118"/>
  <c r="AH41" i="118"/>
  <c r="AG41" i="118"/>
  <c r="AH39" i="118"/>
  <c r="AG39" i="118"/>
  <c r="AH32" i="118"/>
  <c r="AG32" i="118"/>
  <c r="AH30" i="118"/>
  <c r="AG30" i="118"/>
  <c r="AH28" i="118"/>
  <c r="AG28" i="118"/>
  <c r="AH26" i="118"/>
  <c r="AG26" i="118"/>
  <c r="AH24" i="118"/>
  <c r="AG24" i="118"/>
  <c r="Y47" i="118"/>
  <c r="X47" i="118"/>
  <c r="Y45" i="118"/>
  <c r="X45" i="118"/>
  <c r="Y43" i="118"/>
  <c r="X43" i="118"/>
  <c r="Y41" i="118"/>
  <c r="X41" i="118"/>
  <c r="Y39" i="118"/>
  <c r="X39" i="118"/>
  <c r="Y32" i="118"/>
  <c r="X32" i="118"/>
  <c r="Y30" i="118"/>
  <c r="X30" i="118"/>
  <c r="Y28" i="118"/>
  <c r="X28" i="118"/>
  <c r="Y26" i="118"/>
  <c r="X26" i="118"/>
  <c r="Y24" i="118"/>
  <c r="X24" i="118"/>
  <c r="P47" i="118"/>
  <c r="O47" i="118"/>
  <c r="P45" i="118"/>
  <c r="O45" i="118"/>
  <c r="P43" i="118"/>
  <c r="O43" i="118"/>
  <c r="P41" i="118"/>
  <c r="O41" i="118"/>
  <c r="P39" i="118"/>
  <c r="O39" i="118"/>
  <c r="P32" i="118"/>
  <c r="O32" i="118"/>
  <c r="P30" i="118"/>
  <c r="O30" i="118"/>
  <c r="P28" i="118"/>
  <c r="O28" i="118"/>
  <c r="P26" i="118"/>
  <c r="O26" i="118"/>
  <c r="P24" i="118"/>
  <c r="O24" i="118"/>
  <c r="G47" i="118" l="1"/>
  <c r="F47" i="118"/>
  <c r="G45" i="118"/>
  <c r="F45" i="118"/>
  <c r="G43" i="118"/>
  <c r="F43" i="118"/>
  <c r="G41" i="118"/>
  <c r="F41" i="118"/>
  <c r="G39" i="118"/>
  <c r="F39" i="118"/>
  <c r="G32" i="118"/>
  <c r="F32" i="118"/>
  <c r="G30" i="118"/>
  <c r="F30" i="118"/>
  <c r="G28" i="118"/>
  <c r="F28" i="118"/>
  <c r="G26" i="118"/>
  <c r="F26" i="118"/>
  <c r="G24" i="118"/>
  <c r="F24" i="118"/>
  <c r="AF15" i="22" l="1"/>
  <c r="AF14" i="22"/>
  <c r="AF13" i="22"/>
  <c r="AF12" i="22"/>
  <c r="AF11" i="22"/>
  <c r="AF10" i="22"/>
  <c r="AE10" i="22"/>
  <c r="AF9" i="22"/>
  <c r="AE9" i="22"/>
  <c r="S9" i="22"/>
  <c r="P9" i="22"/>
  <c r="J9" i="22"/>
  <c r="AF8" i="22"/>
  <c r="AE8" i="22"/>
  <c r="Q12" i="8" l="1"/>
  <c r="Q14" i="8"/>
  <c r="Q18" i="8"/>
</calcChain>
</file>

<file path=xl/sharedStrings.xml><?xml version="1.0" encoding="utf-8"?>
<sst xmlns="http://schemas.openxmlformats.org/spreadsheetml/2006/main" count="18890" uniqueCount="5766">
  <si>
    <t>For sensor 16087039</t>
  </si>
  <si>
    <t>0 ppm</t>
  </si>
  <si>
    <t xml:space="preserve">*RX(8) 13 00 4F 00 04 FF FF FF </t>
  </si>
  <si>
    <t xml:space="preserve">*TX(8) 13 00 4F 00 04 FF FF FF </t>
  </si>
  <si>
    <t xml:space="preserve"> RX(8) 11 00 04 FF FF FF 00 00 </t>
  </si>
  <si>
    <t xml:space="preserve"> TX(8) 11 00 4F 00 00 00 00 00 </t>
  </si>
  <si>
    <t xml:space="preserve">*RX(8) 11 00 04 FF 00 00 00 00 </t>
  </si>
  <si>
    <t xml:space="preserve">*TX(8) 11 00 00 01 00 00 00 00 </t>
  </si>
  <si>
    <t xml:space="preserve"> RX(8) 11 00 FF 77 F5 00 00 00 </t>
  </si>
  <si>
    <t xml:space="preserve"> TX(8) 11 00 03 00 00 00 00 00 </t>
  </si>
  <si>
    <t xml:space="preserve">*RX(8) 11 00 5A 02 01 00 00 00 </t>
  </si>
  <si>
    <t xml:space="preserve">*TX(8) 11 00 00 00 00 00 00 00 </t>
  </si>
  <si>
    <t xml:space="preserve"> RX(8) 11 00 5A 02 01 00 00 00 </t>
  </si>
  <si>
    <t xml:space="preserve"> TX(8) 11 00 00 00 00 00 00 00 </t>
  </si>
  <si>
    <t xml:space="preserve">*RX(8) 11 00 FF 77 F5 00 00 00 </t>
  </si>
  <si>
    <t xml:space="preserve">*TX(8) 11 00 03 00 00 00 00 00 </t>
  </si>
  <si>
    <t xml:space="preserve"> TX(8) 02 00 02 00 00 00 00 00 </t>
  </si>
  <si>
    <t xml:space="preserve">*RX(8) 01 00 A0 CC 88 33 A3 00 </t>
  </si>
  <si>
    <t xml:space="preserve">*TX(8) 01 00 02 00 00 00 00 00 </t>
  </si>
  <si>
    <t xml:space="preserve"> RX(8) 01 00 A0 86 81 1B 86 00 </t>
  </si>
  <si>
    <t xml:space="preserve"> TX(8) 01 00 01 00 00 00 00 00 </t>
  </si>
  <si>
    <t xml:space="preserve">*RX(8) 02 00 00 80 A5 0D 83 00 </t>
  </si>
  <si>
    <t xml:space="preserve">*TX(8) 02 00 00 00 00 00 00 00 </t>
  </si>
  <si>
    <t xml:space="preserve"> RX(8) 01 00 3F 10 83 41 8C 00 </t>
  </si>
  <si>
    <t xml:space="preserve"> TX(8) 01 00 00 00 00 00 00 00 </t>
  </si>
  <si>
    <t xml:space="preserve">*RX(8) 09 1B 08 09 04 02 10 00 </t>
  </si>
  <si>
    <t xml:space="preserve">*TX(8) 09 00 00 00 00 00 00 00 </t>
  </si>
  <si>
    <t xml:space="preserve">*RX(8) 02 00 2F 89 44 0B B5 03 </t>
  </si>
  <si>
    <t xml:space="preserve">*TX(8) 02 00 02 00 00 00 00 00 </t>
  </si>
  <si>
    <t xml:space="preserve"> RX(8) 01 00 B0 CC 88 33 A3 00 </t>
  </si>
  <si>
    <t xml:space="preserve"> TX(8) 01 00 02 00 00 00 00 00 </t>
  </si>
  <si>
    <t xml:space="preserve">*RX(8) 01 00 A0 86 81 1B 86 00 </t>
  </si>
  <si>
    <t xml:space="preserve">*TX(8) 01 00 01 00 00 00 00 00 </t>
  </si>
  <si>
    <t xml:space="preserve"> RX(8) 02 00 00 80 62 0D 83 00 </t>
  </si>
  <si>
    <t xml:space="preserve"> TX(8) 02 00 00 00 00 00 00 00 </t>
  </si>
  <si>
    <t xml:space="preserve">*RX(8) 01 00 FC 0F 83 40 8C 00 </t>
  </si>
  <si>
    <t xml:space="preserve">*TX(8) 01 00 00 00 00 00 00 00 </t>
  </si>
  <si>
    <t xml:space="preserve"> RX(8) 09 1B 08 09 04 02 10 00 </t>
  </si>
  <si>
    <t xml:space="preserve"> TX(8) 09 00 00 00 00 00 00 00 </t>
  </si>
  <si>
    <t xml:space="preserve"> RX(8) 02 00 2E 89 45 0B 68 04 </t>
  </si>
  <si>
    <t xml:space="preserve">*RX(8) 01 00 F8 CD 88 38 A3 00 </t>
  </si>
  <si>
    <t xml:space="preserve">*RX(8) 02 00 00 80 3E 0E 83 00 </t>
  </si>
  <si>
    <t xml:space="preserve"> RX(8) 01 00 D8 10 83 43 8C 00 </t>
  </si>
  <si>
    <t xml:space="preserve">*RX(8) 02 00 2D 89 46 0B EE 03 </t>
  </si>
  <si>
    <t xml:space="preserve"> RX(8) 01 00 11 CF 88 3C A3 00 </t>
  </si>
  <si>
    <t xml:space="preserve"> RX(8) 02 00 00 80 84 0D 83 00 </t>
  </si>
  <si>
    <t xml:space="preserve">*RX(8) 01 00 1E 10 83 40 8C 00 </t>
  </si>
  <si>
    <t xml:space="preserve"> RX(8) 02 00 2C 89 48 0B 34 04 </t>
  </si>
  <si>
    <t xml:space="preserve">*RX(8) 01 00 3A D0 88 41 A3 00 </t>
  </si>
  <si>
    <t xml:space="preserve">*RX(8) 02 00 00 80 33 0E 83 00 </t>
  </si>
  <si>
    <t xml:space="preserve"> RX(8) 01 00 CD 10 83 43 8C 00 </t>
  </si>
  <si>
    <t xml:space="preserve">*RX(8) 02 00 2B 89 49 0B 3D 04 </t>
  </si>
  <si>
    <t xml:space="preserve"> RX(8) 01 00 15 D1 88 44 A3 00 </t>
  </si>
  <si>
    <t xml:space="preserve"> RX(8) 02 00 00 80 3C 0E 83 00 </t>
  </si>
  <si>
    <t xml:space="preserve">*RX(8) 01 00 D6 10 83 43 8C 00 </t>
  </si>
  <si>
    <t xml:space="preserve"> RX(8) 02 00 2B 89 49 0B 92 04 </t>
  </si>
  <si>
    <t xml:space="preserve">*RX(8) 01 00 05 D1 88 44 A3 00 </t>
  </si>
  <si>
    <t xml:space="preserve">*RX(8) 02 00 00 80 F9 0D 83 00 </t>
  </si>
  <si>
    <t xml:space="preserve"> RX(8) 01 00 93 10 83 42 8C 00 </t>
  </si>
  <si>
    <t xml:space="preserve">*RX(8) 02 00 2B 89 49 0B 12 04 </t>
  </si>
  <si>
    <t xml:space="preserve"> RX(8) 01 00 34 D1 88 45 A3 00 </t>
  </si>
  <si>
    <t xml:space="preserve"> RX(8) 02 00 00 80 12 0E 83 00 </t>
  </si>
  <si>
    <t xml:space="preserve">*RX(8) 01 00 AC 10 83 43 8C 00 </t>
  </si>
  <si>
    <t xml:space="preserve"> RX(8) 02 00 2A 89 4A 0B BF 03 </t>
  </si>
  <si>
    <t xml:space="preserve">*RX(8) 01 00 B1 D1 88 47 A3 00 </t>
  </si>
  <si>
    <t xml:space="preserve">*RX(8) 02 00 00 80 D5 0D 83 00 </t>
  </si>
  <si>
    <t xml:space="preserve"> RX(8) 01 00 6F 10 83 42 8C 00 </t>
  </si>
  <si>
    <t xml:space="preserve">*RX(8) 02 00 29 89 4B 0B 90 03 </t>
  </si>
  <si>
    <t xml:space="preserve"> RX(8) 01 00 9B D2 88 4A A3 00 </t>
  </si>
  <si>
    <t xml:space="preserve"> RX(8) 02 00 00 80 FD 0D 83 00 </t>
  </si>
  <si>
    <t xml:space="preserve">*RX(8) 01 00 97 10 83 42 8C 00 </t>
  </si>
  <si>
    <t xml:space="preserve"> RX(8) 02 00 29 89 4C 0B BD 04 </t>
  </si>
  <si>
    <t xml:space="preserve">*RX(8) 01 00 C4 D3 88 4F A3 00 </t>
  </si>
  <si>
    <t xml:space="preserve">*RX(8) 02 00 00 80 E5 0E 83 00 </t>
  </si>
  <si>
    <t xml:space="preserve"> RX(8) 01 00 7F 11 83 46 8C 00 </t>
  </si>
  <si>
    <t xml:space="preserve">*RX(8) 02 00 29 89 4C 0B 43 04 </t>
  </si>
  <si>
    <t xml:space="preserve"> RX(8) 01 00 C4 D3 88 4F A3 00 </t>
  </si>
  <si>
    <t xml:space="preserve"> RX(8) 02 00 00 80 6C 0E 83 00 </t>
  </si>
  <si>
    <t xml:space="preserve">*RX(8) 01 00 06 11 83 44 8C 00 </t>
  </si>
  <si>
    <t xml:space="preserve"> RX(8) 02 00 29 89 4B 0B D8 04 </t>
  </si>
  <si>
    <t xml:space="preserve">*RX(8) 01 00 F9 D2 88 4C A3 00 </t>
  </si>
  <si>
    <t xml:space="preserve">*RX(8) 02 00 00 80 EC 0E 83 00 </t>
  </si>
  <si>
    <t xml:space="preserve"> RX(8) 01 00 86 11 83 46 8C 00 </t>
  </si>
  <si>
    <t xml:space="preserve">*RX(8) 02 00 2B 89 49 0B 63 04 </t>
  </si>
  <si>
    <t xml:space="preserve"> RX(8) 01 00 E0 D1 88 48 A3 00 </t>
  </si>
  <si>
    <t xml:space="preserve"> RX(8) 02 00 00 80 62 0E 83 00 </t>
  </si>
  <si>
    <t xml:space="preserve">*RX(8) 01 00 FC 10 83 44 8C 00 </t>
  </si>
  <si>
    <t xml:space="preserve"> RX(8) 02 00 2C 89 48 0B 4C 04 </t>
  </si>
  <si>
    <t xml:space="preserve">*RX(8) 01 00 D6 D0 88 43 A3 00 </t>
  </si>
  <si>
    <t xml:space="preserve">*RX(8) 02 00 00 80 36 0E 83 00 </t>
  </si>
  <si>
    <t xml:space="preserve"> RX(8) 01 00 D0 10 83 43 8C 00 </t>
  </si>
  <si>
    <t xml:space="preserve">*RX(8) 02 00 2C 89 48 0B 83 04 </t>
  </si>
  <si>
    <t xml:space="preserve"> RX(8) 01 00 A7 D0 88 43 A3 00 </t>
  </si>
  <si>
    <t xml:space="preserve"> RX(8) 02 00 00 80 6D 0E 83 00 </t>
  </si>
  <si>
    <t xml:space="preserve">*RX(8) 01 00 07 11 83 44 8C 00 </t>
  </si>
  <si>
    <t xml:space="preserve"> RX(8) 02 00 2C 89 48 0B 4D 04 </t>
  </si>
  <si>
    <t xml:space="preserve">*RX(8) 01 00 97 D0 88 42 A3 00 </t>
  </si>
  <si>
    <t xml:space="preserve">*RX(8) 02 00 00 80 37 0E 83 00 </t>
  </si>
  <si>
    <t xml:space="preserve"> RX(8) 01 00 D1 10 83 43 8C 00 </t>
  </si>
  <si>
    <t xml:space="preserve">*RX(8) 02 00 2C 89 48 0B 46 04 </t>
  </si>
  <si>
    <t xml:space="preserve"> RX(8) 01 00 68 D0 88 42 A3 00 </t>
  </si>
  <si>
    <t xml:space="preserve"> RX(8) 02 00 00 80 31 0E 83 00 </t>
  </si>
  <si>
    <t xml:space="preserve">*RX(8) 01 00 CB 10 83 43 8C 00 </t>
  </si>
  <si>
    <t xml:space="preserve"> RX(8) 02 00 2C 89 48 0B 2D 04 </t>
  </si>
  <si>
    <t xml:space="preserve">*RX(8) 02 00 00 80 18 0E 83 00 </t>
  </si>
  <si>
    <t xml:space="preserve"> RX(8) 01 00 B2 10 83 43 8C 00 </t>
  </si>
  <si>
    <t xml:space="preserve">*RX(8) 02 00 2C 89 47 0B 48 04 </t>
  </si>
  <si>
    <t xml:space="preserve"> RX(8) 01 00 DC CF 88 3F A3 00 </t>
  </si>
  <si>
    <t xml:space="preserve"> RX(8) 02 00 00 80 32 0E 83 00 </t>
  </si>
  <si>
    <t xml:space="preserve">*RX(8) 01 00 CC 10 83 43 8C 00 </t>
  </si>
  <si>
    <t xml:space="preserve"> RX(8) 02 00 2D 89 46 0B 3F 04 </t>
  </si>
  <si>
    <t xml:space="preserve">*RX(8) 01 00 50 CF 88 3D A3 00 </t>
  </si>
  <si>
    <t xml:space="preserve">*RX(8) 02 00 00 80 09 0E 83 00 </t>
  </si>
  <si>
    <t xml:space="preserve"> RX(8) 01 00 A3 10 83 43 8C 00 </t>
  </si>
  <si>
    <t xml:space="preserve">*RX(8) 02 00 2D 89 46 0B E5 03 </t>
  </si>
  <si>
    <t xml:space="preserve"> RX(8) 01 00 D3 CE 88 3B A3 00 </t>
  </si>
  <si>
    <t xml:space="preserve"> RX(8) 02 00 00 80 A7 0D 83 00 </t>
  </si>
  <si>
    <t xml:space="preserve">*RX(8) 01 00 41 10 83 41 8C 00 </t>
  </si>
  <si>
    <t xml:space="preserve"> RX(8) 02 00 2E 89 45 0B 19 04 </t>
  </si>
  <si>
    <t xml:space="preserve">*RX(8) 01 00 17 CE 88 38 A3 00 </t>
  </si>
  <si>
    <t xml:space="preserve">*RX(8) 02 00 00 80 DB 0D 83 00 </t>
  </si>
  <si>
    <t xml:space="preserve"> RX(8) 01 00 75 10 83 42 8C 00 </t>
  </si>
  <si>
    <t xml:space="preserve">*RX(8) 02 00 2E 89 45 0B 23 04 </t>
  </si>
  <si>
    <t xml:space="preserve"> RX(8) 01 00 F8 CD 88 38 A3 00 </t>
  </si>
  <si>
    <t xml:space="preserve"> RX(8) 02 00 00 80 E5 0D 83 00 </t>
  </si>
  <si>
    <t xml:space="preserve">*RX(8) 01 00 7F 10 83 42 8C 00 </t>
  </si>
  <si>
    <t xml:space="preserve"> RX(8) 02 00 2D 89 46 0B F8 04 </t>
  </si>
  <si>
    <t xml:space="preserve">*RX(8) 01 00 A4 CE 88 3B A3 00 </t>
  </si>
  <si>
    <t xml:space="preserve">*RX(8) 02 00 00 80 CC 0E 83 00 </t>
  </si>
  <si>
    <t xml:space="preserve"> RX(8) 01 00 66 11 83 46 8C 00 </t>
  </si>
  <si>
    <t xml:space="preserve">*RX(8) 02 00 2D 89 46 0B 4A 04 </t>
  </si>
  <si>
    <t xml:space="preserve"> RX(8) 02 00 00 80 0B 0E 83 00 </t>
  </si>
  <si>
    <t xml:space="preserve">*RX(8) 01 00 A5 10 83 43 8C 00 </t>
  </si>
  <si>
    <t xml:space="preserve"> RX(8) 02 00 2F 89 44 0B 83 04 </t>
  </si>
  <si>
    <t xml:space="preserve">*RX(8) 01 00 07 CE 88 38 A3 00 </t>
  </si>
  <si>
    <t xml:space="preserve">*RX(8) 02 00 00 80 1A 0E 83 00 </t>
  </si>
  <si>
    <t xml:space="preserve"> RX(8) 01 00 B4 10 83 43 8C 00 </t>
  </si>
  <si>
    <t xml:space="preserve">*RX(8) 02 00 31 89 41 0B 8F 03 </t>
  </si>
  <si>
    <t xml:space="preserve"> RX(8) 01 00 0A CB 88 2C A3 00 </t>
  </si>
  <si>
    <t xml:space="preserve"> RX(8) 02 00 00 80 FE 0C 83 00 </t>
  </si>
  <si>
    <t xml:space="preserve">*RX(8) 01 00 98 0F 83 3E 8C 00 </t>
  </si>
  <si>
    <t xml:space="preserve"> RX(8) 02 00 32 89 40 0B 5E 03 </t>
  </si>
  <si>
    <t xml:space="preserve">*RX(8) 01 00 8D CA 88 2A A3 00 </t>
  </si>
  <si>
    <t xml:space="preserve">*RX(8) 02 00 00 80 E3 0C 83 00 </t>
  </si>
  <si>
    <t xml:space="preserve"> RX(8) 01 00 7D 0F 83 3E 8C 00 </t>
  </si>
  <si>
    <t xml:space="preserve">*RX(8) 02 00 30 89 42 0B 28 05 </t>
  </si>
  <si>
    <t xml:space="preserve"> RX(8) 01 00 A6 CB 88 2F A3 00 </t>
  </si>
  <si>
    <t xml:space="preserve"> RX(8) 02 00 00 80 BD 0E 83 00 </t>
  </si>
  <si>
    <t xml:space="preserve">*RX(8) 01 00 57 11 83 45 8C 00 </t>
  </si>
  <si>
    <t xml:space="preserve">*RX(8) 11 00 FF FF FF FF 00 00 </t>
  </si>
  <si>
    <t xml:space="preserve">*TX(8) 11 00 4A 00 00 00 00 00 </t>
  </si>
  <si>
    <t xml:space="preserve"> RX(8) 11 00 FF FF FF FF 00 00 </t>
  </si>
  <si>
    <t xml:space="preserve"> TX(8) 11 00 49 00 00 00 00 00 </t>
  </si>
  <si>
    <t xml:space="preserve">*TX(8) 11 00 48 00 00 00 00 00 </t>
  </si>
  <si>
    <t xml:space="preserve"> TX(8) 11 00 47 00 00 00 00 00 </t>
  </si>
  <si>
    <t xml:space="preserve">*RX(8) 11 00 FF 00 FF FF 00 00 </t>
  </si>
  <si>
    <t xml:space="preserve">*TX(8) 11 00 9C 01 00 00 00 00 </t>
  </si>
  <si>
    <t xml:space="preserve"> RX(8) 11 00 5B 00 00 00 00 00 </t>
  </si>
  <si>
    <t xml:space="preserve"> TX(8) 11 00 8C 01 00 00 00 00 </t>
  </si>
  <si>
    <t xml:space="preserve">*TX(8) 11 00 7C 01 00 00 00 00 </t>
  </si>
  <si>
    <t xml:space="preserve"> RX(8) 11 00 FF 00 FF FF 00 00 </t>
  </si>
  <si>
    <t xml:space="preserve"> TX(8) 11 00 6C 01 00 00 00 00 </t>
  </si>
  <si>
    <t xml:space="preserve">*TX(8) 11 00 5C 01 00 00 00 00 </t>
  </si>
  <si>
    <t xml:space="preserve"> TX(8) 11 00 4C 01 00 00 00 00 </t>
  </si>
  <si>
    <t xml:space="preserve">*TX(8) 11 00 3C 01 00 00 00 00 </t>
  </si>
  <si>
    <t xml:space="preserve"> RX(8) 11 00 05 00 FF FF 00 00 </t>
  </si>
  <si>
    <t xml:space="preserve"> TX(8) 11 00 2C 01 00 00 00 00 </t>
  </si>
  <si>
    <t xml:space="preserve">*RX(8) 11 00 10 00 FF FF 00 00 </t>
  </si>
  <si>
    <t xml:space="preserve">*TX(8) 11 00 1C 01 00 00 00 00 </t>
  </si>
  <si>
    <t xml:space="preserve"> RX(8) 11 00 01 00 FF FF 00 00 </t>
  </si>
  <si>
    <t xml:space="preserve"> TX(8) 11 00 0C 01 00 00 00 00 </t>
  </si>
  <si>
    <t xml:space="preserve">*RX(8) 11 00 00 A0 86 81 00 00 </t>
  </si>
  <si>
    <t xml:space="preserve">*TX(8) 11 00 41 00 00 00 00 00 </t>
  </si>
  <si>
    <t xml:space="preserve"> RX(8) 11 00 01 00 01 00 00 00 </t>
  </si>
  <si>
    <t xml:space="preserve"> TX(8) 11 00 44 00 00 00 00 00 </t>
  </si>
  <si>
    <t xml:space="preserve">*RX(8) 11 00 01 00 00 00 00 00 </t>
  </si>
  <si>
    <t xml:space="preserve">*TX(8) 11 00 43 00 00 00 00 00 </t>
  </si>
  <si>
    <t xml:space="preserve"> RX(8) 11 00 00 00 FF FF 00 00 </t>
  </si>
  <si>
    <t xml:space="preserve"> TX(8) 11 00 08 01 00 00 00 00 </t>
  </si>
  <si>
    <t xml:space="preserve">*RX(8) 11 00 00 00 FF FF 00 00 </t>
  </si>
  <si>
    <t xml:space="preserve">*TX(8) 11 00 3C 00 00 00 00 00 </t>
  </si>
  <si>
    <t xml:space="preserve"> RX(8) 11 00 04 FF 00 00 00 00 </t>
  </si>
  <si>
    <t xml:space="preserve"> TX(8) 11 00 00 01 00 00 00 00 </t>
  </si>
  <si>
    <t xml:space="preserve">*RX(8) 11 00 02 00 FF FF 00 00 </t>
  </si>
  <si>
    <t xml:space="preserve">*TX(8) 11 00 42 00 00 00 00 00 </t>
  </si>
  <si>
    <t xml:space="preserve"> RX(8) 11 00 54 A7 00 00 00 00 </t>
  </si>
  <si>
    <t xml:space="preserve"> TX(8) 11 00 01 00 00 00 00 00 </t>
  </si>
  <si>
    <t>13.3 ppm</t>
  </si>
  <si>
    <t xml:space="preserve"> RX(8) 02 00 49 89 22 0B 67 06 </t>
  </si>
  <si>
    <t xml:space="preserve">*RX(8) 01 00 EE B2 88 CC A2 00 </t>
  </si>
  <si>
    <t xml:space="preserve">*RX(8) 02 00 00 80 EE 0D 83 00 </t>
  </si>
  <si>
    <t xml:space="preserve"> RX(8) 01 00 88 10 83 42 8C 00 </t>
  </si>
  <si>
    <t xml:space="preserve">*RX(8) 02 00 47 89 25 0B 74 06 </t>
  </si>
  <si>
    <t xml:space="preserve"> RX(8) 01 00 26 B4 88 D1 A2 00 </t>
  </si>
  <si>
    <t xml:space="preserve"> RX(8) 02 00 00 80 26 0E 83 00 </t>
  </si>
  <si>
    <t xml:space="preserve">*RX(8) 01 00 C0 10 83 43 8C 00 </t>
  </si>
  <si>
    <t xml:space="preserve"> RX(8) 02 00 47 89 25 0B E5 05 </t>
  </si>
  <si>
    <t xml:space="preserve">*RX(8) 01 00 5F B5 88 D5 A2 00 </t>
  </si>
  <si>
    <t xml:space="preserve">*RX(8) 02 00 00 80 AE 0D 83 00 </t>
  </si>
  <si>
    <t xml:space="preserve"> RX(8) 01 00 48 10 83 41 8C 00 </t>
  </si>
  <si>
    <t xml:space="preserve">*RX(8) 02 00 46 89 26 0B E6 05 </t>
  </si>
  <si>
    <t xml:space="preserve"> RX(8) 01 00 DC B5 88 D7 A2 00 </t>
  </si>
  <si>
    <t xml:space="preserve"> RX(8) 02 00 00 80 F4 0B 83 00 </t>
  </si>
  <si>
    <t xml:space="preserve">*RX(8) 01 00 8E 0E 83 3A 8C 00 </t>
  </si>
  <si>
    <t xml:space="preserve"> RX(8) 02 00 45 89 28 0B 2A 06 </t>
  </si>
  <si>
    <t xml:space="preserve">*RX(8) 01 00 97 B6 88 DA A2 00 </t>
  </si>
  <si>
    <t xml:space="preserve">*RX(8) 02 00 00 80 07 0E 83 00 </t>
  </si>
  <si>
    <t xml:space="preserve"> RX(8) 01 00 A1 10 83 43 8C 00 </t>
  </si>
  <si>
    <t xml:space="preserve">*RX(8) 02 00 44 89 29 0B C5 06 </t>
  </si>
  <si>
    <t xml:space="preserve"> RX(8) 01 00 2E B8 88 E1 A2 00 </t>
  </si>
  <si>
    <t xml:space="preserve"> RX(8) 02 00 00 80 B5 0E 83 00 </t>
  </si>
  <si>
    <t xml:space="preserve">*RX(8) 01 00 4F 11 83 45 8C 00 </t>
  </si>
  <si>
    <t xml:space="preserve"> RX(8) 02 00 43 89 2A 0B F5 06 </t>
  </si>
  <si>
    <t xml:space="preserve">*RX(8) 01 00 F9 B8 88 E4 A2 00 </t>
  </si>
  <si>
    <t xml:space="preserve">*RX(8) 02 00 00 80 51 0F 83 00 </t>
  </si>
  <si>
    <t xml:space="preserve"> RX(8) 01 00 EB 11 83 48 8C 00 </t>
  </si>
  <si>
    <t xml:space="preserve">*RX(8) 02 00 42 89 2B 0B 88 06 </t>
  </si>
  <si>
    <t xml:space="preserve"> RX(8) 01 00 85 B9 88 E6 A2 00 </t>
  </si>
  <si>
    <t xml:space="preserve"> RX(8) 02 00 00 80 A3 0E 83 00 </t>
  </si>
  <si>
    <t xml:space="preserve">*RX(8) 01 00 3D 11 83 45 8C 00 </t>
  </si>
  <si>
    <t xml:space="preserve"> RX(8) 02 00 42 89 2B 0B DE 05 </t>
  </si>
  <si>
    <t xml:space="preserve">*RX(8) 01 00 95 B9 88 E6 A2 00 </t>
  </si>
  <si>
    <t xml:space="preserve">*RX(8) 02 00 00 80 E5 0D 83 00 </t>
  </si>
  <si>
    <t xml:space="preserve"> RX(8) 01 00 7F 10 83 42 8C 00 </t>
  </si>
  <si>
    <t xml:space="preserve">*RX(8) 02 00 43 89 2A 0B 52 06 </t>
  </si>
  <si>
    <t xml:space="preserve"> RX(8) 01 00 E9 B8 88 E4 A2 00 </t>
  </si>
  <si>
    <t xml:space="preserve"> RX(8) 02 00 00 80 48 0E 83 00 </t>
  </si>
  <si>
    <t xml:space="preserve">*RX(8) 01 00 E2 10 83 44 8C 00 </t>
  </si>
  <si>
    <t xml:space="preserve"> RX(8) 02 00 44 89 29 0B EE 05 </t>
  </si>
  <si>
    <t xml:space="preserve">*RX(8) 01 00 3D B8 88 E1 A2 00 </t>
  </si>
  <si>
    <t xml:space="preserve">*RX(8) 02 00 00 80 CB 0D 83 00 </t>
  </si>
  <si>
    <t xml:space="preserve"> RX(8) 01 00 65 10 83 42 8C 00 </t>
  </si>
  <si>
    <t xml:space="preserve">*RX(8) 02 00 45 89 28 0B BC 05 </t>
  </si>
  <si>
    <t xml:space="preserve"> RX(8) 01 00 B0 B7 88 DF A2 00 </t>
  </si>
  <si>
    <t xml:space="preserve"> RX(8) 02 00 00 80 9A 0D 83 00 </t>
  </si>
  <si>
    <t xml:space="preserve">*RX(8) 01 00 34 10 83 41 8C 00 </t>
  </si>
  <si>
    <t xml:space="preserve"> RX(8) 02 00 45 89 28 0B DD 05 </t>
  </si>
  <si>
    <t xml:space="preserve">*RX(8) 01 00 91 B7 88 DE A2 00 </t>
  </si>
  <si>
    <t xml:space="preserve">*RX(8) 02 00 00 80 BA 0D 83 00 </t>
  </si>
  <si>
    <t xml:space="preserve"> RX(8) 01 00 54 10 83 41 8C 00 </t>
  </si>
  <si>
    <t xml:space="preserve">*RX(8) 02 00 44 89 29 0B AF 05 </t>
  </si>
  <si>
    <t xml:space="preserve"> RX(8) 01 00 D0 B7 88 DF A2 00 </t>
  </si>
  <si>
    <t xml:space="preserve"> RX(8) 02 00 00 80 A1 0D 83 00 </t>
  </si>
  <si>
    <t xml:space="preserve">*RX(8) 01 00 3B 10 83 41 8C 00 </t>
  </si>
  <si>
    <t xml:space="preserve"> RX(8) 02 00 44 89 29 0B 25 06 </t>
  </si>
  <si>
    <t xml:space="preserve">*RX(8) 02 00 00 80 16 0E 83 00 </t>
  </si>
  <si>
    <t xml:space="preserve"> RX(8) 01 00 B0 10 83 43 8C 00 </t>
  </si>
  <si>
    <t xml:space="preserve">*RX(8) 02 00 45 89 28 0B 6C 06 </t>
  </si>
  <si>
    <t xml:space="preserve"> RX(8) 02 00 45 89 27 0B 87 05 </t>
  </si>
  <si>
    <t xml:space="preserve">*RX(8) 01 00 E6 B6 88 DC A2 00 </t>
  </si>
  <si>
    <t xml:space="preserve">*RX(8) 02 00 00 80 7D 0D 83 00 </t>
  </si>
  <si>
    <t xml:space="preserve"> RX(8) 01 00 17 10 83 40 8C 00 </t>
  </si>
  <si>
    <t xml:space="preserve">*RX(8) 02 00 46 89 26 0B CC 05 </t>
  </si>
  <si>
    <t xml:space="preserve"> RX(8) 01 00 1A B6 88 D8 A2 00 </t>
  </si>
  <si>
    <t xml:space="preserve"> RX(8) 02 00 00 80 95 0D 83 00 </t>
  </si>
  <si>
    <t xml:space="preserve">*RX(8) 01 00 2F 10 83 41 8C 00 </t>
  </si>
  <si>
    <t xml:space="preserve"> RX(8) 02 00 47 89 25 0B F7 05 </t>
  </si>
  <si>
    <t xml:space="preserve">*RX(8) 01 00 3F B5 88 D5 A2 00 </t>
  </si>
  <si>
    <t xml:space="preserve">*RX(8) 02 00 00 80 AA 0D 83 00 </t>
  </si>
  <si>
    <t xml:space="preserve"> RX(8) 01 00 44 10 83 41 8C 00 </t>
  </si>
  <si>
    <t xml:space="preserve">*RX(8) 02 00 47 89 25 0B BF 06 </t>
  </si>
  <si>
    <t xml:space="preserve"> RX(8) 01 00 3F B5 88 D5 A2 00 </t>
  </si>
  <si>
    <t xml:space="preserve"> RX(8) 02 00 00 80 86 0E 83 00 </t>
  </si>
  <si>
    <t xml:space="preserve">*RX(8) 01 00 20 11 83 45 8C 00 </t>
  </si>
  <si>
    <t xml:space="preserve"> RX(8) 02 00 46 89 26 0B 6F 06 </t>
  </si>
  <si>
    <t xml:space="preserve">*RX(8) 01 00 CC B5 88 D7 A2 00 </t>
  </si>
  <si>
    <t xml:space="preserve">*RX(8) 02 00 45 89 27 0B 12 05 </t>
  </si>
  <si>
    <t xml:space="preserve"> RX(8) 01 00 3A B6 88 D9 A2 00 </t>
  </si>
  <si>
    <t xml:space="preserve"> RX(8) 02 00 00 80 F1 0C 83 00 </t>
  </si>
  <si>
    <t xml:space="preserve">*RX(8) 01 00 8B 0F 83 3E 8C 00 </t>
  </si>
  <si>
    <t xml:space="preserve"> RX(8) 02 00 45 89 27 0B 54 03 </t>
  </si>
  <si>
    <t xml:space="preserve">*RX(8) 01 00 69 B6 88 DA A2 00 </t>
  </si>
  <si>
    <t xml:space="preserve">*RX(8) 02 00 00 80 35 0B 83 00 </t>
  </si>
  <si>
    <t xml:space="preserve"> RX(8) 01 00 D0 0D 83 37 8C 00 </t>
  </si>
  <si>
    <t xml:space="preserve">*RX(8) 02 00 45 89 27 0B 13 04 </t>
  </si>
  <si>
    <t xml:space="preserve"> RX(8) 01 00 D6 B6 88 DB A2 00 </t>
  </si>
  <si>
    <t xml:space="preserve"> RX(8) 02 00 45 89 27 0B A6 04 </t>
  </si>
  <si>
    <t xml:space="preserve">*RX(8) 01 00 05 B7 88 DC A2 00 </t>
  </si>
  <si>
    <t xml:space="preserve">*RX(8) 02 00 00 80 86 0C 83 00 </t>
  </si>
  <si>
    <t xml:space="preserve"> RX(8) 01 00 20 0F 83 3D 8C 00 </t>
  </si>
  <si>
    <t xml:space="preserve">*RX(8) 02 00 45 89 27 0B 17 05 </t>
  </si>
  <si>
    <t xml:space="preserve"> RX(8) 02 00 00 80 F6 0C 83 00 </t>
  </si>
  <si>
    <t xml:space="preserve">*RX(8) 01 00 90 0F 83 3E 8C 00 </t>
  </si>
  <si>
    <t xml:space="preserve"> RX(8) 02 00 46 89 26 0B DF 06 </t>
  </si>
  <si>
    <t xml:space="preserve">*RX(8) 01 00 3A B6 88 D9 A2 00 </t>
  </si>
  <si>
    <t xml:space="preserve">*RX(8) 02 00 00 80 A6 0E 83 00 </t>
  </si>
  <si>
    <t xml:space="preserve"> RX(8) 01 00 40 11 83 45 8C 00 </t>
  </si>
  <si>
    <t xml:space="preserve">*RX(8) 02 00 46 89 26 0B CE 08 </t>
  </si>
  <si>
    <t xml:space="preserve"> RX(8) 01 00 FB B5 88 D8 A2 00 </t>
  </si>
  <si>
    <t xml:space="preserve"> RX(8) 02 00 03 80 91 10 83 00 </t>
  </si>
  <si>
    <t xml:space="preserve">*RX(8) 01 00 2B 13 83 4D 8C 00 </t>
  </si>
  <si>
    <t xml:space="preserve"> RX(8) 02 00 46 89 26 0B EA 04 </t>
  </si>
  <si>
    <t xml:space="preserve">*RX(8) 01 00 1A B6 88 D8 A2 00 </t>
  </si>
  <si>
    <t xml:space="preserve">*RX(8) 02 00 00 80 C9 0C 83 00 </t>
  </si>
  <si>
    <t xml:space="preserve"> RX(8) 01 00 63 0F 83 3E 8C 00 </t>
  </si>
  <si>
    <t xml:space="preserve">*RX(8) 02 00 45 89 27 0B 79 04 </t>
  </si>
  <si>
    <t xml:space="preserve"> RX(8) 01 00 59 B6 88 D9 A2 00 </t>
  </si>
  <si>
    <t xml:space="preserve"> RX(8) 02 00 00 80 59 0C 83 00 </t>
  </si>
  <si>
    <t xml:space="preserve">*RX(8) 01 00 F3 0E 83 3C 8C 00 </t>
  </si>
  <si>
    <t>36.9 ppm</t>
  </si>
  <si>
    <t xml:space="preserve"> RX(8) 02 00 5B 89 0C 0B C5 09 </t>
  </si>
  <si>
    <t xml:space="preserve">*RX(8) 01 00 B7 A1 88 87 A2 00 </t>
  </si>
  <si>
    <t xml:space="preserve">*RX(8) 02 00 00 80 C8 0F 83 00 </t>
  </si>
  <si>
    <t xml:space="preserve"> RX(8) 01 00 62 12 83 4A 8C 00 </t>
  </si>
  <si>
    <t xml:space="preserve">*RX(8) 02 00 59 89 0E 0B 66 0A </t>
  </si>
  <si>
    <t xml:space="preserve"> RX(8) 01 00 F0 A2 88 8C A2 00 </t>
  </si>
  <si>
    <t xml:space="preserve"> RX(8) 02 00 03 80 98 10 83 00 </t>
  </si>
  <si>
    <t xml:space="preserve">*RX(8) 01 00 32 13 83 4D 8C 00 </t>
  </si>
  <si>
    <t xml:space="preserve"> RX(8) 02 00 58 89 0F 0B 5A 0A </t>
  </si>
  <si>
    <t xml:space="preserve">*RX(8) 01 00 CB A3 88 8F A2 00 </t>
  </si>
  <si>
    <t xml:space="preserve">*RX(8) 02 00 04 80 A1 10 83 00 </t>
  </si>
  <si>
    <t xml:space="preserve"> RX(8) 01 00 3B 13 83 4D 8C 00 </t>
  </si>
  <si>
    <t xml:space="preserve">*RX(8) 02 00 57 89 10 0B 0B 0A </t>
  </si>
  <si>
    <t xml:space="preserve"> RX(8) 01 00 67 A4 88 92 A2 00 </t>
  </si>
  <si>
    <t xml:space="preserve"> RX(8) 02 00 00 80 67 10 83 00 </t>
  </si>
  <si>
    <t xml:space="preserve">*RX(8) 01 00 01 13 83 4C 8C 00 </t>
  </si>
  <si>
    <t xml:space="preserve"> RX(8) 02 00 57 89 10 0B AC 09 </t>
  </si>
  <si>
    <t xml:space="preserve">*RX(8) 01 00 13 A5 88 94 A2 00 </t>
  </si>
  <si>
    <t xml:space="preserve">*RX(8) 02 00 00 80 09 10 83 00 </t>
  </si>
  <si>
    <t xml:space="preserve"> RX(8) 01 00 A3 12 83 4B 8C 00 </t>
  </si>
  <si>
    <t xml:space="preserve">*RX(8) 02 00 56 89 12 0B D9 09 </t>
  </si>
  <si>
    <t xml:space="preserve"> RX(8) 01 00 FD A5 88 98 A2 00 </t>
  </si>
  <si>
    <t xml:space="preserve"> RX(8) 02 00 07 80 D0 10 83 00 </t>
  </si>
  <si>
    <t xml:space="preserve">*RX(8) 01 00 6A 13 83 4E 8C 00 </t>
  </si>
  <si>
    <t xml:space="preserve"> RX(8) 02 00 54 89 14 0B 8A 09 </t>
  </si>
  <si>
    <t xml:space="preserve">*RX(8) 01 00 45 A7 88 9D A2 00 </t>
  </si>
  <si>
    <t xml:space="preserve">*RX(8) 02 00 00 80 26 10 83 00 </t>
  </si>
  <si>
    <t xml:space="preserve"> RX(8) 01 00 C0 12 83 4B 8C 00 </t>
  </si>
  <si>
    <t xml:space="preserve">*RX(8) 02 00 54 89 15 0B 5F 0A </t>
  </si>
  <si>
    <t xml:space="preserve"> RX(8) 01 00 BC A8 88 A3 A2 00 </t>
  </si>
  <si>
    <t xml:space="preserve"> RX(8) 02 00 0A 80 FA 10 83 00 </t>
  </si>
  <si>
    <t xml:space="preserve">*RX(8) 01 00 94 13 83 4E 8C 00 </t>
  </si>
  <si>
    <t xml:space="preserve"> RX(8) 02 00 54 89 15 0B 4A 0A </t>
  </si>
  <si>
    <t xml:space="preserve">*RX(8) 01 00 7E A8 88 A2 A2 00 </t>
  </si>
  <si>
    <t xml:space="preserve">*RX(8) 02 00 04 80 A3 10 83 00 </t>
  </si>
  <si>
    <t xml:space="preserve"> RX(8) 01 00 3D 13 83 4D 8C 00 </t>
  </si>
  <si>
    <t xml:space="preserve">*RX(8) 02 00 55 89 13 0B 5F 0A </t>
  </si>
  <si>
    <t xml:space="preserve"> RX(8) 01 00 55 A7 88 9D A2 00 </t>
  </si>
  <si>
    <t xml:space="preserve"> RX(8) 02 00 57 89 11 0B FD 09 </t>
  </si>
  <si>
    <t xml:space="preserve">*RX(8) 01 00 DE A5 88 97 A2 00 </t>
  </si>
  <si>
    <t xml:space="preserve">*RX(8) 02 00 00 80 59 10 83 00 </t>
  </si>
  <si>
    <t xml:space="preserve"> RX(8) 01 00 F3 12 83 4C 8C 00 </t>
  </si>
  <si>
    <t xml:space="preserve">*RX(8) 02 00 57 89 11 0B 48 0A </t>
  </si>
  <si>
    <t xml:space="preserve"> RX(8) 01 00 51 A5 88 95 A2 00 </t>
  </si>
  <si>
    <t xml:space="preserve"> RX(8) 02 00 04 80 A4 10 83 00 </t>
  </si>
  <si>
    <t xml:space="preserve">*RX(8) 01 00 3E 13 83 4D 8C 00 </t>
  </si>
  <si>
    <t xml:space="preserve"> RX(8) 02 00 57 89 10 0B 54 0A </t>
  </si>
  <si>
    <t xml:space="preserve">*RX(8) 01 00 E4 A4 88 94 A2 00 </t>
  </si>
  <si>
    <t xml:space="preserve">*RX(8) 02 00 05 80 B0 10 83 00 </t>
  </si>
  <si>
    <t xml:space="preserve"> RX(8) 01 00 4A 13 83 4D 8C 00 </t>
  </si>
  <si>
    <t xml:space="preserve">*RX(8) 02 00 57 89 10 0B D4 09 </t>
  </si>
  <si>
    <t xml:space="preserve"> RX(8) 01 00 B5 A4 88 93 A2 00 </t>
  </si>
  <si>
    <t xml:space="preserve"> RX(8) 02 00 00 80 30 10 83 00 </t>
  </si>
  <si>
    <t xml:space="preserve">*RX(8) 01 00 CA 12 83 4B 8C 00 </t>
  </si>
  <si>
    <t xml:space="preserve"> RX(8) 02 00 57 89 10 0B ED 09 </t>
  </si>
  <si>
    <t xml:space="preserve">*RX(8) 01 00 C5 A4 88 93 A2 00 </t>
  </si>
  <si>
    <t xml:space="preserve">*RX(8) 02 00 00 80 49 10 83 00 </t>
  </si>
  <si>
    <t xml:space="preserve"> RX(8) 01 00 E3 12 83 4C 8C 00 </t>
  </si>
  <si>
    <t xml:space="preserve">*RX(8) 02 00 57 89 11 0B 18 0A </t>
  </si>
  <si>
    <t xml:space="preserve"> RX(8) 01 00 03 A5 88 94 A2 00 </t>
  </si>
  <si>
    <t xml:space="preserve"> RX(8) 02 00 09 80 E9 10 83 00 </t>
  </si>
  <si>
    <t xml:space="preserve">*RX(8) 01 00 83 13 83 4E 8C 00 </t>
  </si>
  <si>
    <t xml:space="preserve"> RX(8) 02 00 57 89 11 0B AD 0A </t>
  </si>
  <si>
    <t xml:space="preserve">*RX(8) 01 00 71 A5 88 96 A2 00 </t>
  </si>
  <si>
    <t xml:space="preserve">*RX(8) 02 00 0B 80 08 11 83 00 </t>
  </si>
  <si>
    <t xml:space="preserve"> RX(8) 01 00 A2 13 83 4F 8C 00 </t>
  </si>
  <si>
    <t xml:space="preserve">*RX(8) 02 00 57 89 10 0B 67 0A </t>
  </si>
  <si>
    <t xml:space="preserve"> RX(8) 02 00 06 80 C2 10 83 00 </t>
  </si>
  <si>
    <t xml:space="preserve">*RX(8) 01 00 5C 13 83 4D 8C 00 </t>
  </si>
  <si>
    <t xml:space="preserve"> RX(8) 02 00 58 89 0F 0B 40 0A </t>
  </si>
  <si>
    <t xml:space="preserve">*RX(8) 01 00 38 A4 88 91 A2 00 </t>
  </si>
  <si>
    <t xml:space="preserve">*RX(8) 02 00 02 80 87 10 83 00 </t>
  </si>
  <si>
    <t xml:space="preserve"> RX(8) 01 00 21 13 83 4D 8C 00 </t>
  </si>
  <si>
    <t xml:space="preserve">*RX(8) 02 00 59 89 0E 0B C4 09 </t>
  </si>
  <si>
    <t xml:space="preserve"> RX(8) 01 00 3E A3 88 8D A2 00 </t>
  </si>
  <si>
    <t xml:space="preserve"> RX(8) 02 00 00 80 E2 0F 83 00 </t>
  </si>
  <si>
    <t xml:space="preserve">*RX(8) 01 00 7C 12 83 4A 8C 00 </t>
  </si>
  <si>
    <t xml:space="preserve"> RX(8) 02 00 5B 89 0B 0B E0 09 </t>
  </si>
  <si>
    <t xml:space="preserve">*RX(8) 01 00 4A A1 88 85 A2 00 </t>
  </si>
  <si>
    <t xml:space="preserve">*RX(8) 02 00 00 80 D4 0F 83 00 </t>
  </si>
  <si>
    <t xml:space="preserve"> RX(8) 01 00 6E 12 83 4A 8C 00 </t>
  </si>
  <si>
    <t xml:space="preserve">*RX(8) 02 00 5D 89 09 0B CC 0A </t>
  </si>
  <si>
    <t xml:space="preserve"> RX(8) 01 00 66 9F 88 7E A2 00 </t>
  </si>
  <si>
    <t xml:space="preserve"> RX(8) 02 00 05 80 AA 10 83 00 </t>
  </si>
  <si>
    <t xml:space="preserve">*RX(8) 01 00 44 13 83 4D 8C 00 </t>
  </si>
  <si>
    <t xml:space="preserve"> RX(8) 02 00 5C 89 0A 0B BD 0A </t>
  </si>
  <si>
    <t xml:space="preserve">*RX(8) 01 00 D3 9F 88 7F A2 00 </t>
  </si>
  <si>
    <t xml:space="preserve">*RX(8) 02 00 5B 89 0B 0B CB 0A </t>
  </si>
  <si>
    <t xml:space="preserve"> RX(8) 01 00 CD A0 88 83 A2 00 </t>
  </si>
  <si>
    <t xml:space="preserve"> RX(8) 02 00 07 80 D3 10 83 00 </t>
  </si>
  <si>
    <t xml:space="preserve">*RX(8) 01 00 6D 13 83 4E 8C 00 </t>
  </si>
  <si>
    <t xml:space="preserve"> RX(8) 02 00 5B 89 0C 0B 0A 0A </t>
  </si>
  <si>
    <t xml:space="preserve">*RX(8) 01 00 98 A1 88 86 A2 00 </t>
  </si>
  <si>
    <t xml:space="preserve">*RX(8) 02 00 00 80 45 10 83 00 </t>
  </si>
  <si>
    <t xml:space="preserve"> RX(8) 01 00 DF 12 83 4B 8C 00 </t>
  </si>
  <si>
    <t xml:space="preserve">*RX(8) 02 00 5A 89 0D 0B DA 09 </t>
  </si>
  <si>
    <t xml:space="preserve"> RX(8) 01 00 05 A2 88 88 A2 00 </t>
  </si>
  <si>
    <t xml:space="preserve"> RX(8) 02 00 00 80 F8 0F 83 00 </t>
  </si>
  <si>
    <t xml:space="preserve">*RX(8) 01 00 92 12 83 4A 8C 00 </t>
  </si>
  <si>
    <t xml:space="preserve"> RX(8) 02 00 5A 89 0D 0B A1 09 </t>
  </si>
  <si>
    <t xml:space="preserve">*RX(8) 01 00 25 A2 88 89 A2 00 </t>
  </si>
  <si>
    <t xml:space="preserve">*RX(8) 02 00 00 80 BF 0F 83 00 </t>
  </si>
  <si>
    <t xml:space="preserve"> RX(8) 01 00 59 12 83 49 8C 00 </t>
  </si>
  <si>
    <t xml:space="preserve">*RX(8) 02 00 5A 89 0D 0B AA 0A </t>
  </si>
  <si>
    <t xml:space="preserve"> RX(8) 01 00 34 A2 88 89 A2 00 </t>
  </si>
  <si>
    <t xml:space="preserve"> RX(8) 02 00 07 80 C7 10 83 00 </t>
  </si>
  <si>
    <t xml:space="preserve">*RX(8) 01 00 61 13 83 4E 8C 00 </t>
  </si>
  <si>
    <t xml:space="preserve"> RX(8) 02 00 5A 89 0D 0B 92 09 </t>
  </si>
  <si>
    <t xml:space="preserve">*RX(8) 01 00 34 A2 88 89 A2 00 </t>
  </si>
  <si>
    <t xml:space="preserve">*RX(8) 02 00 00 80 B1 0F 83 00 </t>
  </si>
  <si>
    <t xml:space="preserve"> RX(8) 01 00 4B 12 83 49 8C 00 </t>
  </si>
  <si>
    <t xml:space="preserve">*RX(8) 02 00 5A 89 0D 0B EF 09 </t>
  </si>
  <si>
    <t xml:space="preserve"> RX(8) 01 00 15 A2 88 88 A2 00 </t>
  </si>
  <si>
    <t xml:space="preserve"> RX(8) 02 00 00 80 FD 0F 83 00 </t>
  </si>
  <si>
    <t xml:space="preserve">*RX(8) 01 00 97 12 83 4A 8C 00 </t>
  </si>
  <si>
    <t>100 ppm</t>
  </si>
  <si>
    <t xml:space="preserve"> RX(8) 02 00 75 89 EC 0A A0 13 </t>
  </si>
  <si>
    <t xml:space="preserve">*RX(8) 01 00 92 88 88 22 A2 00 </t>
  </si>
  <si>
    <t xml:space="preserve">*RX(8) 02 00 5F 80 37 17 83 00 </t>
  </si>
  <si>
    <t xml:space="preserve"> RX(8) 01 00 D0 19 83 67 8C 00 </t>
  </si>
  <si>
    <t xml:space="preserve">*RX(8) 02 00 73 89 EE 0A E7 12 </t>
  </si>
  <si>
    <t xml:space="preserve"> RX(8) 01 00 57 8A 88 29 A2 00 </t>
  </si>
  <si>
    <t xml:space="preserve"> RX(8) 02 00 5C 80 04 17 83 00 </t>
  </si>
  <si>
    <t xml:space="preserve">*RX(8) 01 00 9D 19 83 66 8C 00 </t>
  </si>
  <si>
    <t xml:space="preserve"> RX(8) 02 00 71 89 F0 0A 63 12 </t>
  </si>
  <si>
    <t xml:space="preserve">*RX(8) 01 00 90 8B 88 2E A2 00 </t>
  </si>
  <si>
    <t xml:space="preserve">*RX(8) 02 00 57 80 95 16 83 00 </t>
  </si>
  <si>
    <t xml:space="preserve"> RX(8) 01 00 2E 19 83 65 8C 00 </t>
  </si>
  <si>
    <t xml:space="preserve">*RX(8) 02 00 71 89 F1 0A 13 13 </t>
  </si>
  <si>
    <t xml:space="preserve"> RX(8) 01 00 5B 8C 88 31 A2 00 </t>
  </si>
  <si>
    <t xml:space="preserve"> RX(8) 02 00 61 80 59 17 83 00 </t>
  </si>
  <si>
    <t xml:space="preserve">*RX(8) 01 00 F2 19 83 68 8C 00 </t>
  </si>
  <si>
    <t xml:space="preserve"> RX(8) 02 00 6F 89 F3 0A 6C 12 </t>
  </si>
  <si>
    <t xml:space="preserve">*RX(8) 01 00 D2 8D 88 37 A2 00 </t>
  </si>
  <si>
    <t xml:space="preserve">*RX(8) 02 00 5A 80 DD 16 83 00 </t>
  </si>
  <si>
    <t xml:space="preserve"> RX(8) 01 00 76 19 83 66 8C 00 </t>
  </si>
  <si>
    <t xml:space="preserve">*RX(8) 02 00 6E 89 F4 0A 3D 13 </t>
  </si>
  <si>
    <t xml:space="preserve"> RX(8) 01 00 0A 8F 88 3C A2 00 </t>
  </si>
  <si>
    <t xml:space="preserve"> RX(8) 02 00 66 80 C3 17 83 00 </t>
  </si>
  <si>
    <t xml:space="preserve">*RX(8) 01 00 5C 1A 83 69 8C 00 </t>
  </si>
  <si>
    <t xml:space="preserve"> RX(8) 02 00 6D 89 F5 0A D1 12 </t>
  </si>
  <si>
    <t xml:space="preserve">*RX(8) 01 00 88 8F 88 3E A2 00 </t>
  </si>
  <si>
    <t xml:space="preserve">*RX(8) 02 00 60 80 57 17 83 00 </t>
  </si>
  <si>
    <t xml:space="preserve"> RX(8) 01 00 F0 19 83 68 8C 00 </t>
  </si>
  <si>
    <t xml:space="preserve">*RX(8) 02 00 6E 89 F4 0A F8 12 </t>
  </si>
  <si>
    <t xml:space="preserve"> RX(8) 01 00 DB 8E 88 3B A2 00 </t>
  </si>
  <si>
    <t xml:space="preserve"> RX(8) 02 00 61 80 69 17 83 00 </t>
  </si>
  <si>
    <t xml:space="preserve">*RX(8) 01 00 02 1A 83 68 8C 00 </t>
  </si>
  <si>
    <t xml:space="preserve"> RX(8) 02 00 6F 89 F3 0A 02 13 </t>
  </si>
  <si>
    <t xml:space="preserve">*RX(8) 01 00 3F 8E 88 39 A2 00 </t>
  </si>
  <si>
    <t xml:space="preserve">*RX(8) 02 00 61 80 5C 17 83 00 </t>
  </si>
  <si>
    <t xml:space="preserve"> RX(8) 01 00 F5 19 83 68 8C 00 </t>
  </si>
  <si>
    <t xml:space="preserve">*RX(8) 02 00 70 89 F2 0A 20 12 </t>
  </si>
  <si>
    <t xml:space="preserve"> RX(8) 01 00 A3 8D 88 37 A2 00 </t>
  </si>
  <si>
    <t xml:space="preserve"> RX(8) 02 00 55 80 67 16 83 00 </t>
  </si>
  <si>
    <t xml:space="preserve">*RX(8) 01 00 00 19 83 64 8C 00 </t>
  </si>
  <si>
    <t xml:space="preserve"> RX(8) 02 00 71 89 F1 0A A6 12 </t>
  </si>
  <si>
    <t xml:space="preserve">*RX(8) 01 00 C8 8C 88 33 A2 00 </t>
  </si>
  <si>
    <t xml:space="preserve">*RX(8) 02 00 5B 80 ED 16 83 00 </t>
  </si>
  <si>
    <t xml:space="preserve"> RX(8) 01 00 86 19 83 66 8C 00 </t>
  </si>
  <si>
    <t xml:space="preserve">*RX(8) 02 00 70 89 F2 0A 60 14 </t>
  </si>
  <si>
    <t xml:space="preserve"> RX(8) 01 00 26 8D 88 35 A2 00 </t>
  </si>
  <si>
    <t xml:space="preserve"> RX(8) 02 00 71 80 A4 18 83 00 </t>
  </si>
  <si>
    <t xml:space="preserve">*RX(8) 01 00 3D 1B 83 6D 8C 00 </t>
  </si>
  <si>
    <t xml:space="preserve"> RX(8) 02 00 6F 89 F3 0A 0A 13 </t>
  </si>
  <si>
    <t xml:space="preserve">*RX(8) 02 00 5B 80 E3 16 83 00 </t>
  </si>
  <si>
    <t xml:space="preserve"> RX(8) 01 00 7C 19 83 66 8C 00 </t>
  </si>
  <si>
    <t xml:space="preserve">*RX(8) 02 00 6F 89 F3 0A 50 12 </t>
  </si>
  <si>
    <t xml:space="preserve"> RX(8) 01 00 2F 8E 88 39 A2 00 </t>
  </si>
  <si>
    <t xml:space="preserve"> RX(8) 02 00 58 80 AB 16 83 00 </t>
  </si>
  <si>
    <t xml:space="preserve">*RX(8) 01 00 44 19 83 65 8C 00 </t>
  </si>
  <si>
    <t xml:space="preserve"> RX(8) 02 00 6E 89 F4 0A A3 12 </t>
  </si>
  <si>
    <t xml:space="preserve">*RX(8) 01 00 7D 8E 88 3A A2 00 </t>
  </si>
  <si>
    <t xml:space="preserve">*RX(8) 02 00 5D 80 14 17 83 00 </t>
  </si>
  <si>
    <t xml:space="preserve"> RX(8) 01 00 AD 19 83 67 8C 00 </t>
  </si>
  <si>
    <t xml:space="preserve">*RX(8) 02 00 6E 89 F4 0A 1F 12 </t>
  </si>
  <si>
    <t xml:space="preserve"> RX(8) 01 00 EB 8E 88 3C A2 00 </t>
  </si>
  <si>
    <t xml:space="preserve"> RX(8) 02 00 57 80 91 16 83 00 </t>
  </si>
  <si>
    <t xml:space="preserve">*RX(8) 01 00 2A 19 83 65 8C 00 </t>
  </si>
  <si>
    <t xml:space="preserve"> RX(8) 02 00 6E 89 F4 0A DC 11 </t>
  </si>
  <si>
    <t xml:space="preserve">*RX(8) 01 00 FB 8E 88 3C A2 00 </t>
  </si>
  <si>
    <t xml:space="preserve">*RX(8) 02 00 52 80 38 16 83 00 </t>
  </si>
  <si>
    <t xml:space="preserve"> RX(8) 01 00 D1 18 83 63 8C 00 </t>
  </si>
  <si>
    <t xml:space="preserve">*RX(8) 02 00 70 89 F2 0A CA 11 </t>
  </si>
  <si>
    <t xml:space="preserve"> RX(8) 01 00 84 8D 88 36 A2 00 </t>
  </si>
  <si>
    <t xml:space="preserve"> RX(8) 02 00 50 80 12 16 83 00 </t>
  </si>
  <si>
    <t xml:space="preserve">*RX(8) 01 00 AB 18 83 63 8C 00 </t>
  </si>
  <si>
    <t xml:space="preserve"> RX(8) 02 00 71 89 F1 0A 7E 12 </t>
  </si>
  <si>
    <t xml:space="preserve">*RX(8) 02 00 58 80 AF 16 83 00 </t>
  </si>
  <si>
    <t xml:space="preserve"> RX(8) 01 00 48 19 83 65 8C 00 </t>
  </si>
  <si>
    <t xml:space="preserve">*RX(8) 02 00 70 89 F2 0A 06 12 </t>
  </si>
  <si>
    <t xml:space="preserve"> RX(8) 01 00 07 8D 88 34 A2 00 </t>
  </si>
  <si>
    <t xml:space="preserve"> RX(8) 02 00 53 80 4D 16 83 00 </t>
  </si>
  <si>
    <t xml:space="preserve">*RX(8) 01 00 E6 18 83 64 8C 00 </t>
  </si>
  <si>
    <t xml:space="preserve"> RX(8) 02 00 6F 89 F3 0A CF 11 </t>
  </si>
  <si>
    <t xml:space="preserve">*RX(8) 01 00 B3 8D 88 37 A2 00 </t>
  </si>
  <si>
    <t xml:space="preserve">*RX(8) 02 00 52 80 2B 16 83 00 </t>
  </si>
  <si>
    <t xml:space="preserve"> RX(8) 01 00 C4 18 83 63 8C 00 </t>
  </si>
  <si>
    <t xml:space="preserve">*RX(8) 02 00 6E 89 F4 0A D2 11 </t>
  </si>
  <si>
    <t xml:space="preserve"> RX(8) 01 00 3F 8E 88 39 A2 00 </t>
  </si>
  <si>
    <t xml:space="preserve"> RX(8) 02 00 53 80 44 16 83 00 </t>
  </si>
  <si>
    <t xml:space="preserve">*RX(8) 01 00 DD 18 83 63 8C 00 </t>
  </si>
  <si>
    <t xml:space="preserve"> RX(8) 02 00 6E 89 F4 0A 88 11 </t>
  </si>
  <si>
    <t xml:space="preserve">*RX(8) 01 00 DB 8E 88 3B A2 00 </t>
  </si>
  <si>
    <t xml:space="preserve">*RX(8) 02 00 4F 80 FB 15 83 00 </t>
  </si>
  <si>
    <t xml:space="preserve"> RX(8) 01 00 94 18 83 62 8C 00 </t>
  </si>
  <si>
    <t xml:space="preserve">*RX(8) 02 00 6E 89 F4 0A 6C 11 </t>
  </si>
  <si>
    <t xml:space="preserve"> RX(8) 01 00 9D 8E 88 3A A2 00 </t>
  </si>
  <si>
    <t xml:space="preserve"> RX(8) 02 00 4D 80 C8 15 83 00 </t>
  </si>
  <si>
    <t xml:space="preserve">*RX(8) 01 00 61 18 83 62 8C 00 </t>
  </si>
  <si>
    <t xml:space="preserve"> RX(8) 02 00 6F 89 F3 0A CB 11 </t>
  </si>
  <si>
    <t xml:space="preserve">*RX(8) 01 00 A3 8D 88 37 A2 00 </t>
  </si>
  <si>
    <t xml:space="preserve">*RX(8) 02 00 50 80 13 16 83 00 </t>
  </si>
  <si>
    <t xml:space="preserve"> RX(8) 01 00 AC 18 83 63 8C 00 </t>
  </si>
  <si>
    <t xml:space="preserve">*RX(8) 02 00 71 89 F0 0A BE 11 </t>
  </si>
  <si>
    <t xml:space="preserve"> RX(8) 02 00 4E 80 DC 15 83 00 </t>
  </si>
  <si>
    <t xml:space="preserve">*RX(8) 01 00 75 18 83 62 8C 00 </t>
  </si>
  <si>
    <t xml:space="preserve"> RX(8) 02 00 72 89 EF 0A B4 11 </t>
  </si>
  <si>
    <t xml:space="preserve">*RX(8) 01 00 51 8B 88 2D A2 00 </t>
  </si>
  <si>
    <t xml:space="preserve">*RX(8) 02 00 4D 80 D2 15 83 00 </t>
  </si>
  <si>
    <t xml:space="preserve"> RX(8) 01 00 6B 18 83 62 8C 00 </t>
  </si>
  <si>
    <t xml:space="preserve">*RX(8) 02 00 73 89 EE 0A A9 11 </t>
  </si>
  <si>
    <t xml:space="preserve"> RX(8) 01 00 28 8A 88 29 A2 00 </t>
  </si>
  <si>
    <t xml:space="preserve"> RX(8) 02 00 4C 80 B2 15 83 00 </t>
  </si>
  <si>
    <t xml:space="preserve">*RX(8) 01 00 4B 18 83 61 8C 00 </t>
  </si>
  <si>
    <t xml:space="preserve"> RX(8) 02 00 74 89 ED 0A 48 11 </t>
  </si>
  <si>
    <t xml:space="preserve">*RX(8) 01 00 6D 89 88 26 A2 00 </t>
  </si>
  <si>
    <t xml:space="preserve">*RX(8) 02 00 46 80 3D 15 83 00 </t>
  </si>
  <si>
    <t xml:space="preserve"> RX(8) 01 00 D6 17 83 5F 8C 00 </t>
  </si>
  <si>
    <t xml:space="preserve">*RX(8) 02 00 74 89 ED 0A C5 11 </t>
  </si>
  <si>
    <t xml:space="preserve"> RX(8) 01 00 8C 89 88 26 A2 00 </t>
  </si>
  <si>
    <t xml:space="preserve"> RX(8) 02 00 4D 80 CE 15 83 00 </t>
  </si>
  <si>
    <t xml:space="preserve">*RX(8) 01 00 67 18 83 62 8C 00 </t>
  </si>
  <si>
    <t>500 ppm</t>
  </si>
  <si>
    <t xml:space="preserve"> RX(8) 02 00 89 89 D3 0A 12 37 </t>
  </si>
  <si>
    <t xml:space="preserve">*RX(8) 01 00 39 75 88 D5 A1 00 </t>
  </si>
  <si>
    <t xml:space="preserve">*RX(8) 02 00 E1 81 47 39 83 00 </t>
  </si>
  <si>
    <t xml:space="preserve"> RX(8) 01 00 DC 3B 83 EF 8C 00 </t>
  </si>
  <si>
    <t xml:space="preserve">*RX(8) 02 00 88 89 D4 0A 04 37 </t>
  </si>
  <si>
    <t xml:space="preserve"> RX(8) 01 00 97 75 88 D6 A1 00 </t>
  </si>
  <si>
    <t xml:space="preserve"> RX(8) 02 00 E2 81 64 39 83 00 </t>
  </si>
  <si>
    <t xml:space="preserve">*RX(8) 01 00 F9 3B 83 F0 8C 00 </t>
  </si>
  <si>
    <t xml:space="preserve"> RX(8) 02 00 88 89 D5 0A 64 37 </t>
  </si>
  <si>
    <t xml:space="preserve">*RX(8) 01 00 04 76 88 D8 A1 00 </t>
  </si>
  <si>
    <t xml:space="preserve">*RX(8) 02 00 E4 81 99 39 83 00 </t>
  </si>
  <si>
    <t xml:space="preserve"> RX(8) 01 00 2E 3C 83 F1 8C 00 </t>
  </si>
  <si>
    <t xml:space="preserve">*RX(8) 02 00 87 89 D6 0A 40 37 </t>
  </si>
  <si>
    <t xml:space="preserve"> RX(8) 01 00 4C 77 88 DD A1 00 </t>
  </si>
  <si>
    <t xml:space="preserve"> RX(8) 02 00 E4 81 9D 39 83 00 </t>
  </si>
  <si>
    <t xml:space="preserve">*RX(8) 01 00 32 3C 83 F1 8C 00 </t>
  </si>
  <si>
    <t xml:space="preserve"> RX(8) 02 00 85 89 D8 0A 9A 37 </t>
  </si>
  <si>
    <t xml:space="preserve">*RX(8) 01 00 94 78 88 E2 A1 00 </t>
  </si>
  <si>
    <t xml:space="preserve">*RX(8) 02 00 E9 81 0B 3A 83 00 </t>
  </si>
  <si>
    <t xml:space="preserve"> RX(8) 01 00 A0 3C 83 F3 8C 00 </t>
  </si>
  <si>
    <t xml:space="preserve">*RX(8) 02 00 85 89 D8 0A CA 37 </t>
  </si>
  <si>
    <t xml:space="preserve"> RX(8) 01 00 B4 78 88 E3 A1 00 </t>
  </si>
  <si>
    <t xml:space="preserve"> RX(8) 02 00 EA 81 27 3A 83 00 </t>
  </si>
  <si>
    <t xml:space="preserve">*RX(8) 01 00 BC 3C 83 F3 8C 00 </t>
  </si>
  <si>
    <t xml:space="preserve"> RX(8) 02 00 86 89 D7 0A 49 37 </t>
  </si>
  <si>
    <t xml:space="preserve">*RX(8) 01 00 C9 77 88 DF A1 00 </t>
  </si>
  <si>
    <t xml:space="preserve">*RX(8) 02 00 E4 81 91 39 83 00 </t>
  </si>
  <si>
    <t xml:space="preserve"> RX(8) 01 00 26 3C 83 F1 8C 00 </t>
  </si>
  <si>
    <t xml:space="preserve">*RX(8) 02 00 86 89 D7 0A 8E 38 </t>
  </si>
  <si>
    <t xml:space="preserve"> RX(8) 01 00 9A 77 88 DE A1 00 </t>
  </si>
  <si>
    <t xml:space="preserve"> RX(8) 02 00 F2 81 EA 3A 83 00 </t>
  </si>
  <si>
    <t xml:space="preserve">*RX(8) 01 00 7F 3D 83 F6 8C 00 </t>
  </si>
  <si>
    <t xml:space="preserve"> RX(8) 02 00 86 89 D7 0A 34 38 </t>
  </si>
  <si>
    <t xml:space="preserve">*RX(8) 01 00 08 78 88 E0 A1 00 </t>
  </si>
  <si>
    <t xml:space="preserve">*RX(8) 02 00 EE 81 90 3A 83 00 </t>
  </si>
  <si>
    <t xml:space="preserve"> RX(8) 01 00 25 3D 83 F5 8C 00 </t>
  </si>
  <si>
    <t xml:space="preserve">*RX(8) 02 00 86 89 D7 0A 16 38 </t>
  </si>
  <si>
    <t xml:space="preserve"> RX(8) 01 00 27 78 88 E1 A1 00 </t>
  </si>
  <si>
    <t xml:space="preserve"> RX(8) 02 00 ED 81 72 3A 83 00 </t>
  </si>
  <si>
    <t xml:space="preserve">*RX(8) 01 00 07 3D 83 F4 8C 00 </t>
  </si>
  <si>
    <t xml:space="preserve"> RX(8) 02 00 85 89 D8 0A 35 38 </t>
  </si>
  <si>
    <t xml:space="preserve">*RX(8) 02 00 EF 81 A6 3A 83 00 </t>
  </si>
  <si>
    <t xml:space="preserve"> RX(8) 01 00 3B 3D 83 F5 8C 00 </t>
  </si>
  <si>
    <t xml:space="preserve">*RX(8) 02 00 84 89 D9 0A CB 37 </t>
  </si>
  <si>
    <t xml:space="preserve"> RX(8) 01 00 7F 79 88 E6 A1 00 </t>
  </si>
  <si>
    <t xml:space="preserve"> RX(8) 02 00 EC 81 50 3A 83 00 </t>
  </si>
  <si>
    <t xml:space="preserve">*RX(8) 01 00 E5 3C 83 F4 8C 00 </t>
  </si>
  <si>
    <t xml:space="preserve"> RX(8) 02 00 84 89 DA 0A 72 36 </t>
  </si>
  <si>
    <t xml:space="preserve">*RX(8) 01 00 2B 7A 88 E9 A1 00 </t>
  </si>
  <si>
    <t xml:space="preserve">*RX(8) 02 00 DD 81 F8 38 83 00 </t>
  </si>
  <si>
    <t xml:space="preserve"> RX(8) 01 00 8D 3B 83 EE 8C 00 </t>
  </si>
  <si>
    <t xml:space="preserve">*RX(8) 02 00 82 89 DC 0A 6D 37 </t>
  </si>
  <si>
    <t xml:space="preserve"> RX(8) 01 00 44 7B 88 ED A1 00 </t>
  </si>
  <si>
    <t xml:space="preserve"> RX(8) 02 00 EA 81 31 3A 83 00 </t>
  </si>
  <si>
    <t xml:space="preserve">*RX(8) 01 00 C6 3C 83 F3 8C 00 </t>
  </si>
  <si>
    <t xml:space="preserve"> RX(8) 02 00 81 89 DD 0A 81 37 </t>
  </si>
  <si>
    <t xml:space="preserve">*RX(8) 01 00 6D 7C 88 F2 A1 00 </t>
  </si>
  <si>
    <t xml:space="preserve">*RX(8) 02 00 EC 81 58 3A 83 00 </t>
  </si>
  <si>
    <t xml:space="preserve"> RX(8) 01 00 ED 3C 83 F4 8C 00 </t>
  </si>
  <si>
    <t xml:space="preserve">*RX(8) 02 00 80 89 DE 0A B7 37 </t>
  </si>
  <si>
    <t xml:space="preserve"> RX(8) 01 00 B5 7D 88 F7 A1 00 </t>
  </si>
  <si>
    <t xml:space="preserve"> RX(8) 02 00 EF 81 A1 3A 83 00 </t>
  </si>
  <si>
    <t xml:space="preserve">*RX(8) 01 00 36 3D 83 F5 8C 00 </t>
  </si>
  <si>
    <t xml:space="preserve"> RX(8) 02 00 7F 89 DF 0A C4 37 </t>
  </si>
  <si>
    <t xml:space="preserve">*RX(8) 01 00 E4 7D 88 F8 A1 00 </t>
  </si>
  <si>
    <t xml:space="preserve">*RX(8) 02 00 EF 81 9B 3A 83 00 </t>
  </si>
  <si>
    <t xml:space="preserve"> RX(8) 01 00 30 3D 83 F5 8C 00 </t>
  </si>
  <si>
    <t xml:space="preserve">*RX(8) 02 00 81 89 DD 0A 21 37 </t>
  </si>
  <si>
    <t xml:space="preserve"> RX(8) 01 00 67 7D 88 F6 A1 00 </t>
  </si>
  <si>
    <t xml:space="preserve"> RX(8) 02 00 E3 81 79 39 83 00 </t>
  </si>
  <si>
    <t xml:space="preserve">*RX(8) 01 00 0E 3C 83 F0 8C 00 </t>
  </si>
  <si>
    <t xml:space="preserve"> RX(8) 02 00 82 89 DC 0A 7E 39 </t>
  </si>
  <si>
    <t xml:space="preserve">*RX(8) 01 00 9C 7C 88 F2 A1 00 </t>
  </si>
  <si>
    <t xml:space="preserve">*RX(8) 02 00 00 82 2A 3C 83 00 </t>
  </si>
  <si>
    <t xml:space="preserve"> RX(8) 01 00 BF 3E 83 FB 8C 00 </t>
  </si>
  <si>
    <t xml:space="preserve">*RX(8) 02 00 83 89 DB 0A D5 37 </t>
  </si>
  <si>
    <t xml:space="preserve"> RX(8) 01 00 63 7B 88 EE A1 00 </t>
  </si>
  <si>
    <t xml:space="preserve"> RX(8) 02 00 ED 81 6F 3A 83 00 </t>
  </si>
  <si>
    <t xml:space="preserve">*RX(8) 01 00 04 3D 83 F4 8C 00 </t>
  </si>
  <si>
    <t xml:space="preserve"> RX(8) 02 00 84 89 DA 0A A8 37 </t>
  </si>
  <si>
    <t xml:space="preserve">*RX(8) 01 00 D6 7A 88 EB A1 00 </t>
  </si>
  <si>
    <t xml:space="preserve">*RX(8) 02 00 EA 81 2D 3A 83 00 </t>
  </si>
  <si>
    <t xml:space="preserve"> RX(8) 01 00 C2 3C 83 F3 8C 00 </t>
  </si>
  <si>
    <t xml:space="preserve">*RX(8) 02 00 83 89 DB 0A 9F 37 </t>
  </si>
  <si>
    <t xml:space="preserve"> RX(8) 01 00 E6 7A 88 EC A1 00 </t>
  </si>
  <si>
    <t xml:space="preserve"> RX(8) 02 00 E5 81 AB 39 83 00 </t>
  </si>
  <si>
    <t xml:space="preserve">*RX(8) 01 00 CE 3C 83 F3 8C 00 </t>
  </si>
  <si>
    <t xml:space="preserve"> RX(8) 02 00 84 89 DA 0A A0 36 </t>
  </si>
  <si>
    <t xml:space="preserve">*RX(8) 02 00 DF 81 26 39 83 00 </t>
  </si>
  <si>
    <t xml:space="preserve"> RX(8) 01 00 BB 3B 83 EF 8C 00 </t>
  </si>
  <si>
    <t xml:space="preserve">*RX(8) 02 00 85 89 D8 0A 9F 37 </t>
  </si>
  <si>
    <t xml:space="preserve"> RX(8) 01 00 DC 79 88 E7 A1 00 </t>
  </si>
  <si>
    <t xml:space="preserve"> RX(8) 02 00 E9 81 10 3A 83 00 </t>
  </si>
  <si>
    <t xml:space="preserve">*RX(8) 01 00 A5 3C 83 F3 8C 00 </t>
  </si>
  <si>
    <t xml:space="preserve"> RX(8) 02 00 86 89 D7 0A 72 37 </t>
  </si>
  <si>
    <t xml:space="preserve">*RX(8) 01 00 46 78 88 E1 A1 00 </t>
  </si>
  <si>
    <t xml:space="preserve">*RX(8) 02 00 E6 81 CF 39 83 00 </t>
  </si>
  <si>
    <t xml:space="preserve"> RX(8) 01 00 64 3C 83 F2 8C 00 </t>
  </si>
  <si>
    <t xml:space="preserve">*RX(8) 02 00 86 89 D7 0A 01 37 </t>
  </si>
  <si>
    <t xml:space="preserve"> RX(8) 01 00 17 78 88 E0 A1 00 </t>
  </si>
  <si>
    <t xml:space="preserve"> RX(8) 02 00 E2 81 5E 39 83 00 </t>
  </si>
  <si>
    <t xml:space="preserve">*RX(8) 01 00 F3 3B 83 F0 8C 00 </t>
  </si>
  <si>
    <t xml:space="preserve"> RX(8) 02 00 86 89 D7 0A FC 37 </t>
  </si>
  <si>
    <t xml:space="preserve">*RX(8) 01 00 17 78 88 E0 A1 00 </t>
  </si>
  <si>
    <t xml:space="preserve">*RX(8) 02 00 86 89 D7 0A F3 36 </t>
  </si>
  <si>
    <t xml:space="preserve"> RX(8) 01 00 36 78 88 E1 A1 00 </t>
  </si>
  <si>
    <t xml:space="preserve"> RX(8) 02 00 E2 81 65 39 83 00 </t>
  </si>
  <si>
    <t xml:space="preserve">*RX(8) 01 00 FA 3B 83 F0 8C 00 </t>
  </si>
  <si>
    <t xml:space="preserve"> RX(8) 02 00 85 89 D8 0A 73 37 </t>
  </si>
  <si>
    <t xml:space="preserve">*RX(8) 01 00 B4 78 88 E3 A1 00 </t>
  </si>
  <si>
    <t xml:space="preserve">*RX(8) 02 00 E7 81 E5 39 83 00 </t>
  </si>
  <si>
    <t xml:space="preserve"> RX(8) 01 00 7A 3C 83 F2 8C 00 </t>
  </si>
  <si>
    <t xml:space="preserve">*RX(8) 02 00 84 89 D9 0A 48 37 </t>
  </si>
  <si>
    <t xml:space="preserve"> RX(8) 01 00 6F 79 88 E6 A1 00 </t>
  </si>
  <si>
    <t xml:space="preserve"> RX(8) 02 00 E6 81 CD 39 83 00 </t>
  </si>
  <si>
    <t xml:space="preserve">*RX(8) 01 00 62 3C 83 F2 8C 00 </t>
  </si>
  <si>
    <t xml:space="preserve"> RX(8) 02 00 62 89 02 0B FF 08 </t>
  </si>
  <si>
    <t xml:space="preserve">*RX(8) 01 00 B9 99 88 67 A2 00 </t>
  </si>
  <si>
    <t xml:space="preserve">*RX(8) 02 00 00 80 5B 0E 83 00 </t>
  </si>
  <si>
    <t xml:space="preserve"> RX(8) 01 00 F5 10 83 44 8C 00 </t>
  </si>
  <si>
    <t xml:space="preserve">*RX(8) 02 00 63 89 01 0B BE 08 </t>
  </si>
  <si>
    <t xml:space="preserve"> RX(8) 01 00 FD 98 88 64 A2 00 </t>
  </si>
  <si>
    <t xml:space="preserve"> RX(8) 02 00 00 80 0C 0E 83 00 </t>
  </si>
  <si>
    <t xml:space="preserve">*RX(8) 01 00 A6 10 83 43 8C 00 </t>
  </si>
  <si>
    <t xml:space="preserve"> RX(8) 02 00 64 89 00 0B 49 08 </t>
  </si>
  <si>
    <t xml:space="preserve">*RX(8) 01 00 41 98 88 61 A2 00 </t>
  </si>
  <si>
    <t xml:space="preserve">*RX(8) 02 00 00 80 98 0D 83 00 </t>
  </si>
  <si>
    <t xml:space="preserve"> RX(8) 01 00 32 10 83 41 8C 00 </t>
  </si>
  <si>
    <t xml:space="preserve">*RX(8) 02 00 64 89 00 0B D9 08 </t>
  </si>
  <si>
    <t xml:space="preserve"> RX(8) 01 00 22 98 88 61 A2 00 </t>
  </si>
  <si>
    <t xml:space="preserve"> RX(8) 02 00 00 80 D1 0D 83 00 </t>
  </si>
  <si>
    <t xml:space="preserve">*RX(8) 01 00 6B 10 83 42 8C 00 </t>
  </si>
  <si>
    <t xml:space="preserve"> RX(8) 02 00 64 89 00 0B AA 08 </t>
  </si>
  <si>
    <t xml:space="preserve">*RX(8) 01 00 03 98 88 60 A2 00 </t>
  </si>
  <si>
    <t xml:space="preserve">*RX(8) 02 00 64 89 00 0B 10 09 </t>
  </si>
  <si>
    <t xml:space="preserve"> RX(8) 01 00 E4 97 88 60 A2 00 </t>
  </si>
  <si>
    <t xml:space="preserve"> RX(8) 02 00 00 80 4A 0E 83 00 </t>
  </si>
  <si>
    <t xml:space="preserve">*RX(8) 01 00 E4 10 83 44 8C 00 </t>
  </si>
  <si>
    <t xml:space="preserve"> RX(8) 02 00 64 89 00 0B CC 08 </t>
  </si>
  <si>
    <t xml:space="preserve">*RX(8) 01 00 E4 97 88 60 A2 00 </t>
  </si>
  <si>
    <t xml:space="preserve">*RX(8) 02 00 64 89 00 0B 20 09 </t>
  </si>
  <si>
    <t xml:space="preserve"> RX(8) 01 00 90 98 88 62 A2 00 </t>
  </si>
  <si>
    <t xml:space="preserve"> RX(8) 02 00 00 80 83 0E 83 00 </t>
  </si>
  <si>
    <t xml:space="preserve">*RX(8) 01 00 1D 11 83 44 8C 00 </t>
  </si>
  <si>
    <t xml:space="preserve"> RX(8) 02 00 62 89 02 0B C8 08 </t>
  </si>
  <si>
    <t xml:space="preserve">*RX(8) 01 00 6A 99 88 66 A2 00 </t>
  </si>
  <si>
    <t xml:space="preserve">*RX(8) 02 00 00 80 40 0E 83 00 </t>
  </si>
  <si>
    <t xml:space="preserve"> RX(8) 01 00 DA 10 83 43 8C 00 </t>
  </si>
  <si>
    <t xml:space="preserve">*RX(8) 02 00 61 89 04 0B B1 08 </t>
  </si>
  <si>
    <t xml:space="preserve"> RX(8) 01 00 C2 9A 88 6B A2 00 </t>
  </si>
  <si>
    <t xml:space="preserve"> RX(8) 02 00 00 80 53 0E 83 00 </t>
  </si>
  <si>
    <t xml:space="preserve">*RX(8) 01 00 ED 10 83 44 8C 00 </t>
  </si>
  <si>
    <t xml:space="preserve"> RX(8) 02 00 60 89 05 0B D1 07 </t>
  </si>
  <si>
    <t xml:space="preserve">*RX(8) 01 00 49 9C 88 71 A2 00 </t>
  </si>
  <si>
    <t xml:space="preserve">*RX(8) 02 00 00 80 75 0D 83 00 </t>
  </si>
  <si>
    <t xml:space="preserve"> RX(8) 01 00 0F 10 83 40 8C 00 </t>
  </si>
  <si>
    <t xml:space="preserve">*RX(8) 02 00 61 89 04 0B 12 08 </t>
  </si>
  <si>
    <t xml:space="preserve"> RX(8) 01 00 8D 9B 88 6E A2 00 </t>
  </si>
  <si>
    <t xml:space="preserve"> RX(8) 02 00 00 80 8B 0D 83 00 </t>
  </si>
  <si>
    <t xml:space="preserve">*RX(8) 01 00 25 10 83 41 8C 00 </t>
  </si>
  <si>
    <t xml:space="preserve"> RX(8) 02 00 64 89 00 0B 0D 08 </t>
  </si>
  <si>
    <t xml:space="preserve">*RX(8) 01 00 99 99 88 66 A2 00 </t>
  </si>
  <si>
    <t xml:space="preserve">*RX(8) 02 00 00 80 8C 0D 83 00 </t>
  </si>
  <si>
    <t xml:space="preserve"> RX(8) 01 00 26 10 83 41 8C 00 </t>
  </si>
  <si>
    <t xml:space="preserve">*RX(8) 02 00 66 89 FE 0A 91 08 </t>
  </si>
  <si>
    <t xml:space="preserve"> RX(8) 01 00 76 97 88 5E A2 00 </t>
  </si>
  <si>
    <t xml:space="preserve"> RX(8) 02 00 67 89 FC 0A 29 08 </t>
  </si>
  <si>
    <t xml:space="preserve">*RX(8) 01 00 D7 94 88 53 A2 00 </t>
  </si>
  <si>
    <t xml:space="preserve">*RX(8) 02 00 00 80 25 0D 83 00 </t>
  </si>
  <si>
    <t xml:space="preserve"> RX(8) 01 00 BF 0F 83 3F 8C 00 </t>
  </si>
  <si>
    <t xml:space="preserve">*RX(8) 02 00 68 89 FB 0A 48 08 </t>
  </si>
  <si>
    <t xml:space="preserve"> RX(8) 01 00 EC 93 88 50 A2 00 </t>
  </si>
  <si>
    <t xml:space="preserve"> RX(8) 02 00 00 80 2F 0D 83 00 </t>
  </si>
  <si>
    <t xml:space="preserve">*RX(8) 01 00 C9 0F 83 3F 8C 00 </t>
  </si>
  <si>
    <t xml:space="preserve"> RX(8) 02 00 69 89 FA 0A 1F 09 </t>
  </si>
  <si>
    <t xml:space="preserve">*RX(8) 01 00 5F 93 88 4D A2 00 </t>
  </si>
  <si>
    <t xml:space="preserve">*RX(8) 02 00 00 80 EF 0D 83 00 </t>
  </si>
  <si>
    <t xml:space="preserve"> RX(8) 01 00 89 10 83 42 8C 00 </t>
  </si>
  <si>
    <t xml:space="preserve">*RX(8) 02 00 6A 89 F9 0A FF 08 </t>
  </si>
  <si>
    <t xml:space="preserve"> RX(8) 01 00 02 93 88 4C A2 00 </t>
  </si>
  <si>
    <t xml:space="preserve"> RX(8) 02 00 00 80 D0 0D 83 00 </t>
  </si>
  <si>
    <t xml:space="preserve">*RX(8) 01 00 6A 10 83 42 8C 00 </t>
  </si>
  <si>
    <t xml:space="preserve"> RX(8) 02 00 6A 89 F9 0A A8 08 </t>
  </si>
  <si>
    <t xml:space="preserve">*RX(8) 01 00 95 92 88 4A A2 00 </t>
  </si>
  <si>
    <t xml:space="preserve">*RX(8) 02 00 00 80 79 0D 83 00 </t>
  </si>
  <si>
    <t xml:space="preserve"> RX(8) 01 00 13 10 83 40 8C 00 </t>
  </si>
  <si>
    <t xml:space="preserve">*RX(8) 02 00 6A 89 F9 0A 43 08 </t>
  </si>
  <si>
    <t xml:space="preserve"> RX(8) 01 00 85 92 88 4A A2 00 </t>
  </si>
  <si>
    <t xml:space="preserve"> RX(8) 02 00 00 80 15 0D 83 00 </t>
  </si>
  <si>
    <t xml:space="preserve">*RX(8) 01 00 AF 0F 83 3F 8C 00 </t>
  </si>
  <si>
    <t xml:space="preserve"> RX(8) 02 00 69 89 FA 0A FD 07 </t>
  </si>
  <si>
    <t xml:space="preserve">*RX(8) 01 00 C3 92 88 4B A2 00 </t>
  </si>
  <si>
    <t xml:space="preserve">*RX(8) 02 00 68 89 FB 0A 9E 08 </t>
  </si>
  <si>
    <t xml:space="preserve"> RX(8) 01 00 8F 93 88 4E A2 00 </t>
  </si>
  <si>
    <t xml:space="preserve"> RX(8) 02 00 00 80 99 0D 83 00 </t>
  </si>
  <si>
    <t xml:space="preserve">*RX(8) 01 00 33 10 83 41 8C 00 </t>
  </si>
  <si>
    <t xml:space="preserve"> RX(8) 02 00 68 89 FB 0A 47 08 </t>
  </si>
  <si>
    <t xml:space="preserve">*RX(8) 01 00 89 94 88 52 A2 00 </t>
  </si>
  <si>
    <t xml:space="preserve">*RX(8) 02 00 00 80 42 0D 83 00 </t>
  </si>
  <si>
    <t xml:space="preserve"> RX(8) 01 00 DC 0F 83 3F 8C 00 </t>
  </si>
  <si>
    <t xml:space="preserve">*RX(8) 02 00 69 89 FA 0A C8 07 </t>
  </si>
  <si>
    <t xml:space="preserve"> RX(8) 01 00 9E 93 88 4E A2 00 </t>
  </si>
  <si>
    <t xml:space="preserve"> RX(8) 02 00 00 80 9A 0C 83 00 </t>
  </si>
  <si>
    <t xml:space="preserve">*RX(8) 01 00 34 0F 83 3D 8C 00 </t>
  </si>
  <si>
    <t xml:space="preserve"> RX(8) 02 00 6C 89 F7 0A 38 08 </t>
  </si>
  <si>
    <t xml:space="preserve">*RX(8) 01 00 8B 91 88 46 A2 00 </t>
  </si>
  <si>
    <t xml:space="preserve">*RX(8) 02 00 00 80 E0 0C 83 00 </t>
  </si>
  <si>
    <t xml:space="preserve"> RX(8) 01 00 7A 0F 83 3E 8C 00 </t>
  </si>
  <si>
    <t xml:space="preserve">*RX(8) 02 00 6D 89 F5 0A 52 08 </t>
  </si>
  <si>
    <t xml:space="preserve"> RX(8) 01 00 F5 8F 88 40 A2 00 </t>
  </si>
  <si>
    <t xml:space="preserve"> RX(8) 02 00 6D 89 F5 0A 1B 09 </t>
  </si>
  <si>
    <t xml:space="preserve">*RX(8) 01 00 68 8F 88 3E A2 00 </t>
  </si>
  <si>
    <t xml:space="preserve">*RX(8) 02 00 00 80 AD 0D 83 00 </t>
  </si>
  <si>
    <t xml:space="preserve"> RX(8) 01 00 47 10 83 41 8C 00 </t>
  </si>
  <si>
    <t xml:space="preserve">*RX(8) 02 00 6D 89 F5 0A FA 08 </t>
  </si>
  <si>
    <t xml:space="preserve"> RX(8) 01 00 49 8F 88 3D A2 00 </t>
  </si>
  <si>
    <t xml:space="preserve"> RX(8) 02 00 00 80 8C 0D 83 00 </t>
  </si>
  <si>
    <t xml:space="preserve">*RX(8) 01 00 26 10 83 41 8C 00 </t>
  </si>
  <si>
    <t xml:space="preserve"> RX(8) 02 00 6E 89 F4 0A EA 08 </t>
  </si>
  <si>
    <t xml:space="preserve">*RX(8) 01 00 1A 8F 88 3C A2 00 </t>
  </si>
  <si>
    <t xml:space="preserve">*RX(8) 02 00 00 80 67 0D 83 00 </t>
  </si>
  <si>
    <t xml:space="preserve"> RX(8) 01 00 01 10 83 40 8C 00 </t>
  </si>
  <si>
    <t xml:space="preserve">*RX(8) 02 00 6E 89 F4 0A 4F 09 </t>
  </si>
  <si>
    <t xml:space="preserve"> RX(8) 02 00 00 80 CB 0D 83 00 </t>
  </si>
  <si>
    <t xml:space="preserve">*RX(8) 01 00 65 10 83 42 8C 00 </t>
  </si>
  <si>
    <t>note: the updates did not appear to be every second, more like 2-3 seconds. This also had zeroing on, which was lower in value than the sensor was actually reading</t>
  </si>
  <si>
    <t>I also changed the averaging period to 1 second for all types for the next time to see if that would improve anything. Ironically will probably have to throw out this run, but will be good for learning.</t>
  </si>
  <si>
    <t>Date:</t>
  </si>
  <si>
    <t>StartTime:</t>
  </si>
  <si>
    <t>EndTime:</t>
  </si>
  <si>
    <t>command name</t>
  </si>
  <si>
    <t>expected string begin</t>
  </si>
  <si>
    <t>Request CO ch1 uV value</t>
  </si>
  <si>
    <t>Receive CO ch1 uV value</t>
  </si>
  <si>
    <t>Request CO ch2 uV value</t>
  </si>
  <si>
    <t>Receive CO ch2 uV value</t>
  </si>
  <si>
    <t>Request calculated CO ch1 uV value</t>
  </si>
  <si>
    <t>Receive calculated CO ch1 uV value</t>
  </si>
  <si>
    <t>Request calculated temp uV value</t>
  </si>
  <si>
    <t>Receive calculated temp uV value</t>
  </si>
  <si>
    <t>Request temp uV value</t>
  </si>
  <si>
    <t>Receive temp uV value</t>
  </si>
  <si>
    <t>TX(8) 01 00 00</t>
  </si>
  <si>
    <t>RX(8) 01 00</t>
  </si>
  <si>
    <t>TX(8) 01 00 01</t>
  </si>
  <si>
    <t>TX(8) 01 00 02</t>
  </si>
  <si>
    <t>note: a space or asterisk * is at the start of each line, switching every two lines</t>
  </si>
  <si>
    <t>value1 size</t>
  </si>
  <si>
    <t>na</t>
  </si>
  <si>
    <t>TX(8) 02 00 00</t>
  </si>
  <si>
    <t>RX(8) 02 00</t>
  </si>
  <si>
    <t>TX(8) 02 00 02</t>
  </si>
  <si>
    <t>value1 meaning</t>
  </si>
  <si>
    <t>end</t>
  </si>
  <si>
    <t>uV</t>
  </si>
  <si>
    <t>value</t>
  </si>
  <si>
    <t>ppm</t>
  </si>
  <si>
    <t>°C</t>
  </si>
  <si>
    <t>value1 formula</t>
  </si>
  <si>
    <t>value1 unit</t>
  </si>
  <si>
    <t>y = x-c1</t>
  </si>
  <si>
    <t>value1 #ofConsts</t>
  </si>
  <si>
    <t>value1 c1</t>
  </si>
  <si>
    <t>800000H</t>
  </si>
  <si>
    <t>8000H</t>
  </si>
  <si>
    <t>value2 size</t>
  </si>
  <si>
    <t>value2 meaning</t>
  </si>
  <si>
    <t>value2 unit</t>
  </si>
  <si>
    <t>value2 formula</t>
  </si>
  <si>
    <t>y = (x-c1)*c2</t>
  </si>
  <si>
    <t>y = x</t>
  </si>
  <si>
    <t>value2 #ofConsts</t>
  </si>
  <si>
    <t>value2 c1</t>
  </si>
  <si>
    <t>value2 c2</t>
  </si>
  <si>
    <t>value3 size</t>
  </si>
  <si>
    <t>value3 meaning</t>
  </si>
  <si>
    <t>note: always goes backwards, so start at the very last line, skipping the initial setup lines, and go upwards. Probably start at bottom and skip that section IF the number of lines is greater not equal to 14</t>
  </si>
  <si>
    <t>value1 decimal From Right</t>
  </si>
  <si>
    <t>value2 decimal From Right</t>
  </si>
  <si>
    <t>before lab air</t>
  </si>
  <si>
    <t>after lab air</t>
  </si>
  <si>
    <t>I always used lab air for this run</t>
  </si>
  <si>
    <t xml:space="preserve"> RX(8) 02 00 F4 89 55 0A 7F 17 </t>
  </si>
  <si>
    <t xml:space="preserve">*RX(8) 01 00 58 12 88 49 A0 00 </t>
  </si>
  <si>
    <t xml:space="preserve">*RX(8) 02 00 B7 80 78 13 83 00 </t>
  </si>
  <si>
    <t xml:space="preserve"> RX(8) 01 00 78 13 83 4E 8C 00 </t>
  </si>
  <si>
    <t xml:space="preserve">*RX(8) 02 00 F6 89 52 0A D9 17 </t>
  </si>
  <si>
    <t xml:space="preserve"> RX(8) 01 00 20 11 88 45 A0 00 </t>
  </si>
  <si>
    <t xml:space="preserve"> RX(8) 02 00 C1 80 A8 13 83 00 </t>
  </si>
  <si>
    <t xml:space="preserve">*RX(8) 01 00 A8 13 83 4F 8C 00 </t>
  </si>
  <si>
    <t xml:space="preserve"> RX(8) 02 00 F8 89 50 0A 4D 18 </t>
  </si>
  <si>
    <t xml:space="preserve">*RX(8) 01 00 FD 0E 88 3C A0 00 </t>
  </si>
  <si>
    <t xml:space="preserve">*RX(8) 02 00 D6 80 08 14 83 00 </t>
  </si>
  <si>
    <t xml:space="preserve"> RX(8) 01 00 08 14 83 50 8C 00 </t>
  </si>
  <si>
    <t xml:space="preserve">*RX(8) 02 00 F9 89 4F 0A 3C 18 </t>
  </si>
  <si>
    <t xml:space="preserve"> RX(8) 01 00 61 0E 88 3A A0 00 </t>
  </si>
  <si>
    <t xml:space="preserve"> RX(8) 02 00 D1 80 F1 13 83 00 </t>
  </si>
  <si>
    <t xml:space="preserve">*RX(8) 01 00 F1 13 83 50 8C 00 </t>
  </si>
  <si>
    <t xml:space="preserve"> RX(8) 02 00 F8 89 50 0A 18 18 </t>
  </si>
  <si>
    <t xml:space="preserve">*RX(8) 01 00 61 0E 88 3A A0 00 </t>
  </si>
  <si>
    <t xml:space="preserve">*RX(8) 02 00 C6 80 BE 13 83 00 </t>
  </si>
  <si>
    <t xml:space="preserve"> RX(8) 01 00 BE 13 83 4F 8C 00 </t>
  </si>
  <si>
    <t xml:space="preserve">*RX(8) 02 00 F8 89 50 0A B7 17 </t>
  </si>
  <si>
    <t xml:space="preserve"> RX(8) 02 00 B0 80 5C 13 83 00 </t>
  </si>
  <si>
    <t xml:space="preserve"> RX(8) 02 00 F8 89 50 0A 75 18 </t>
  </si>
  <si>
    <t xml:space="preserve">*RX(8) 02 00 DE 80 30 14 83 00 </t>
  </si>
  <si>
    <t xml:space="preserve"> RX(8) 01 00 30 14 83 51 8C 00 </t>
  </si>
  <si>
    <t xml:space="preserve">*RX(8) 02 00 F7 89 51 0A 44 18 </t>
  </si>
  <si>
    <t xml:space="preserve"> RX(8) 01 00 4B 0F 88 3D A0 00 </t>
  </si>
  <si>
    <t xml:space="preserve"> RX(8) 02 00 D8 80 14 14 83 00 </t>
  </si>
  <si>
    <t xml:space="preserve">*RX(8) 01 00 14 14 83 50 8C 00 </t>
  </si>
  <si>
    <t xml:space="preserve"> RX(8) 02 00 F6 89 52 0A FC 17 </t>
  </si>
  <si>
    <t xml:space="preserve">*RX(8) 01 00 36 10 88 41 A0 00 </t>
  </si>
  <si>
    <t xml:space="preserve">*RX(8) 02 00 A6 80 2E 13 83 00 </t>
  </si>
  <si>
    <t xml:space="preserve"> RX(8) 01 00 2E 13 83 4D 8C 00 </t>
  </si>
  <si>
    <t xml:space="preserve">*RX(8) 02 00 F5 89 54 0A 16 18 </t>
  </si>
  <si>
    <t xml:space="preserve"> RX(8) 02 00 D7 80 10 14 83 00 </t>
  </si>
  <si>
    <t xml:space="preserve">*RX(8) 01 00 10 14 83 50 8C 00 </t>
  </si>
  <si>
    <t xml:space="preserve"> RX(8) 02 00 F5 89 54 0A ED 17 </t>
  </si>
  <si>
    <t xml:space="preserve">*RX(8) 01 00 0A 12 88 48 A0 00 </t>
  </si>
  <si>
    <t xml:space="preserve">*RX(8) 02 00 D3 80 FC 13 83 00 </t>
  </si>
  <si>
    <t xml:space="preserve"> RX(8) 01 00 FC 13 83 50 8C 00 </t>
  </si>
  <si>
    <t xml:space="preserve">*RX(8) 02 00 F4 89 55 0A C8 17 </t>
  </si>
  <si>
    <t xml:space="preserve"> RX(8) 01 00 A7 12 88 4B A0 00 </t>
  </si>
  <si>
    <t xml:space="preserve"> RX(8) 02 00 BA 80 89 13 83 00 </t>
  </si>
  <si>
    <t xml:space="preserve">*RX(8) 01 00 89 13 83 4E 8C 00 </t>
  </si>
  <si>
    <t xml:space="preserve"> RX(8) 02 00 F1 89 58 0A B3 17 </t>
  </si>
  <si>
    <t xml:space="preserve">*RX(8) 01 00 2D 14 88 51 A0 00 </t>
  </si>
  <si>
    <t xml:space="preserve">*RX(8) 02 00 D8 80 15 14 83 00 </t>
  </si>
  <si>
    <t xml:space="preserve"> RX(8) 01 00 15 14 83 50 8C 00 </t>
  </si>
  <si>
    <t xml:space="preserve">*RX(8) 02 00 EF 89 5B 0A 02 18 </t>
  </si>
  <si>
    <t xml:space="preserve"> RX(8) 01 00 EC 16 88 5C A0 00 </t>
  </si>
  <si>
    <t xml:space="preserve"> RX(8) 02 00 F2 80 8F 14 83 00 </t>
  </si>
  <si>
    <t xml:space="preserve">*RX(8) 01 00 8F 14 83 52 8C 00 </t>
  </si>
  <si>
    <t xml:space="preserve"> RX(8) 02 00 ED 89 5D 0A E6 17 </t>
  </si>
  <si>
    <t xml:space="preserve">*RX(8) 01 00 C1 18 88 63 A0 00 </t>
  </si>
  <si>
    <t xml:space="preserve">*RX(8) 02 00 04 81 E7 14 83 00 </t>
  </si>
  <si>
    <t xml:space="preserve"> RX(8) 01 00 E7 14 83 54 8C 00 </t>
  </si>
  <si>
    <t xml:space="preserve">*RX(8) 02 00 EB 89 5F 0A 5E 17 </t>
  </si>
  <si>
    <t xml:space="preserve"> RX(8) 01 00 FA 19 88 68 A0 00 </t>
  </si>
  <si>
    <t xml:space="preserve"> RX(8) 02 00 DD 80 2A 14 83 00 </t>
  </si>
  <si>
    <t xml:space="preserve">*RX(8) 01 00 2A 14 83 51 8C 00 </t>
  </si>
  <si>
    <t xml:space="preserve"> RX(8) 02 00 EB 89 5F 0A A6 17 </t>
  </si>
  <si>
    <t xml:space="preserve">*RX(8) 01 00 96 1A 88 6A A0 00 </t>
  </si>
  <si>
    <t xml:space="preserve">*RX(8) 02 00 EC 80 72 14 83 00 </t>
  </si>
  <si>
    <t xml:space="preserve"> RX(8) 01 00 72 14 83 52 8C 00 </t>
  </si>
  <si>
    <t xml:space="preserve">*RX(8) 02 00 EB 89 5F 0A A3 17 </t>
  </si>
  <si>
    <t xml:space="preserve"> RX(8) 01 00 48 1A 88 69 A0 00 </t>
  </si>
  <si>
    <t xml:space="preserve"> RX(8) 02 00 E7 80 5A 14 83 00 </t>
  </si>
  <si>
    <t xml:space="preserve">*RX(8) 01 00 5A 14 83 51 8C 00 </t>
  </si>
  <si>
    <t xml:space="preserve"> RX(8) 02 00 ED 89 5D 0A EE 17 </t>
  </si>
  <si>
    <t xml:space="preserve">*RX(8) 01 00 5D 19 88 65 A0 00 </t>
  </si>
  <si>
    <t xml:space="preserve">*RX(8) 02 00 02 81 DD 14 83 00 </t>
  </si>
  <si>
    <t xml:space="preserve"> RX(8) 01 00 DD 14 83 53 8C 00 </t>
  </si>
  <si>
    <t xml:space="preserve">*RX(8) 02 00 EC 89 5E 0A 88 17 </t>
  </si>
  <si>
    <t xml:space="preserve"> RX(8) 01 00 0F 19 88 64 A0 00 </t>
  </si>
  <si>
    <t xml:space="preserve"> RX(8) 02 00 E6 80 54 14 83 00 </t>
  </si>
  <si>
    <t xml:space="preserve">*RX(8) 01 00 54 14 83 51 8C 00 </t>
  </si>
  <si>
    <t xml:space="preserve"> RX(8) 02 00 EB 89 5F 0A CD 17 </t>
  </si>
  <si>
    <t xml:space="preserve">*RX(8) 01 00 48 1A 88 69 A0 00 </t>
  </si>
  <si>
    <t xml:space="preserve">*RX(8) 02 00 F0 80 84 14 83 00 </t>
  </si>
  <si>
    <t xml:space="preserve"> RX(8) 01 00 84 14 83 52 8C 00 </t>
  </si>
  <si>
    <t xml:space="preserve">*RX(8) 02 00 ED 89 5D 0A B4 17 </t>
  </si>
  <si>
    <t xml:space="preserve"> RX(8) 01 00 C1 18 88 63 A0 00 </t>
  </si>
  <si>
    <t xml:space="preserve"> RX(8) 02 00 E1 80 40 14 83 00 </t>
  </si>
  <si>
    <t xml:space="preserve">*RX(8) 01 00 40 14 83 51 8C 00 </t>
  </si>
  <si>
    <t xml:space="preserve"> RX(8) 02 00 F0 89 59 0A 8D 17 </t>
  </si>
  <si>
    <t xml:space="preserve">*RX(8) 01 00 EC 16 88 5C A0 00 </t>
  </si>
  <si>
    <t xml:space="preserve">*RX(8) 02 00 D0 80 ED 13 83 00 </t>
  </si>
  <si>
    <t xml:space="preserve"> RX(8) 01 00 ED 13 83 50 8C 00 </t>
  </si>
  <si>
    <t xml:space="preserve">*RX(8) 02 00 F2 89 57 0A DC 17 </t>
  </si>
  <si>
    <t xml:space="preserve"> RX(8) 01 00 18 15 88 54 A0 00 </t>
  </si>
  <si>
    <t xml:space="preserve"> RX(8) 02 00 D4 80 FF 13 83 00 </t>
  </si>
  <si>
    <t xml:space="preserve">*RX(8) 01 00 FF 13 83 50 8C 00 </t>
  </si>
  <si>
    <t xml:space="preserve"> RX(8) 02 00 F3 89 56 0A 8D 17 </t>
  </si>
  <si>
    <t xml:space="preserve">*RX(8) 01 00 43 13 88 4D A0 00 </t>
  </si>
  <si>
    <t xml:space="preserve">*RX(8) 02 00 C3 80 B0 13 83 00 </t>
  </si>
  <si>
    <t xml:space="preserve"> RX(8) 01 00 B0 13 83 4F 8C 00 </t>
  </si>
  <si>
    <t xml:space="preserve">*RX(8) 02 00 F3 89 56 0A EA 17 </t>
  </si>
  <si>
    <t xml:space="preserve"> RX(8) 01 00 43 13 88 4D A0 00 </t>
  </si>
  <si>
    <t xml:space="preserve"> RX(8) 02 00 DB 80 22 14 83 00 </t>
  </si>
  <si>
    <t xml:space="preserve">*RX(8) 01 00 22 14 83 51 8C 00 </t>
  </si>
  <si>
    <t xml:space="preserve"> RX(8) 02 00 F2 89 57 0A B6 17 </t>
  </si>
  <si>
    <t xml:space="preserve">*RX(8) 01 00 7B 14 88 52 A0 00 </t>
  </si>
  <si>
    <t xml:space="preserve">*RX(8) 02 00 D5 80 03 14 83 00 </t>
  </si>
  <si>
    <t xml:space="preserve"> RX(8) 01 00 03 14 83 50 8C 00 </t>
  </si>
  <si>
    <t xml:space="preserve">*RX(8) 02 00 F0 89 59 0A 72 17 </t>
  </si>
  <si>
    <t xml:space="preserve"> RX(8) 02 00 C8 80 C6 13 83 00 </t>
  </si>
  <si>
    <t xml:space="preserve">*RX(8) 01 00 C6 13 83 4F 8C 00 </t>
  </si>
  <si>
    <t xml:space="preserve"> RX(8) 02 00 F0 89 59 0A AA 17 </t>
  </si>
  <si>
    <t xml:space="preserve">*RX(8) 01 00 B4 15 88 57 A0 00 </t>
  </si>
  <si>
    <t xml:space="preserve">*RX(8) 02 00 D7 80 0C 14 83 00 </t>
  </si>
  <si>
    <t xml:space="preserve"> RX(8) 01 00 0C 14 83 50 8C 00 </t>
  </si>
  <si>
    <t xml:space="preserve">*RX(8) 02 00 F0 89 59 0A 6D 17 </t>
  </si>
  <si>
    <t xml:space="preserve"> RX(8) 01 00 02 16 88 58 A0 00 </t>
  </si>
  <si>
    <t xml:space="preserve"> RX(8) 02 00 CE 80 E4 13 83 00 </t>
  </si>
  <si>
    <t xml:space="preserve">*RX(8) 01 00 E4 13 83 50 8C 00 </t>
  </si>
  <si>
    <t xml:space="preserve">*RX(8) 11 00 01 00 FF FF 00 00 </t>
  </si>
  <si>
    <t xml:space="preserve">*RX(8) 11 00 08 00 FF FF 00 00 </t>
  </si>
  <si>
    <t xml:space="preserve"> RX(8) 13 00 4F 00 04 FF FF FF </t>
  </si>
  <si>
    <t xml:space="preserve"> TX(8) 13 00 4F 00 04 FF FF FF </t>
  </si>
  <si>
    <t xml:space="preserve">*RX(8) 11 00 04 FF FF FF 00 00 </t>
  </si>
  <si>
    <t xml:space="preserve">*TX(8) 11 00 4F 00 00 00 00 00 </t>
  </si>
  <si>
    <t xml:space="preserve">*RX(8) 02 00 79 89 E7 0A 10 0E </t>
  </si>
  <si>
    <t xml:space="preserve"> RX(8) 01 00 7B 84 88 12 A2 00 </t>
  </si>
  <si>
    <t xml:space="preserve"> RX(8) 02 00 E0 80 39 14 83 00 </t>
  </si>
  <si>
    <t xml:space="preserve">*RX(8) 01 00 39 14 83 51 8C 00 </t>
  </si>
  <si>
    <t xml:space="preserve"> RX(8) 02 00 79 89 E7 0A 2F 0D </t>
  </si>
  <si>
    <t xml:space="preserve">*RX(8) 01 00 7B 84 88 12 A2 00 </t>
  </si>
  <si>
    <t xml:space="preserve">*RX(8) 02 00 CC 80 DC 13 83 00 </t>
  </si>
  <si>
    <t xml:space="preserve"> RX(8) 01 00 DC 13 83 4F 8C 00 </t>
  </si>
  <si>
    <t xml:space="preserve">*RX(8) 02 00 79 89 E7 0A 0D 0E </t>
  </si>
  <si>
    <t xml:space="preserve"> RX(8) 01 00 17 85 88 14 A2 00 </t>
  </si>
  <si>
    <t xml:space="preserve"> RX(8) 02 00 DF 80 36 14 83 00 </t>
  </si>
  <si>
    <t xml:space="preserve">*RX(8) 01 00 36 14 83 51 8C 00 </t>
  </si>
  <si>
    <t xml:space="preserve"> RX(8) 02 00 79 89 E7 0A 72 0D </t>
  </si>
  <si>
    <t xml:space="preserve">*RX(8) 02 00 CF 80 EA 13 83 00 </t>
  </si>
  <si>
    <t xml:space="preserve"> RX(8) 01 00 EA 13 83 50 8C 00 </t>
  </si>
  <si>
    <t xml:space="preserve">*RX(8) 02 00 7B 89 E4 0A 38 0E </t>
  </si>
  <si>
    <t xml:space="preserve"> RX(8) 01 00 F5 82 88 0C A2 00 </t>
  </si>
  <si>
    <t xml:space="preserve"> RX(8) 02 00 7D 89 E2 0A 9A 0D </t>
  </si>
  <si>
    <t xml:space="preserve">*RX(8) 01 00 84 80 88 02 A2 00 </t>
  </si>
  <si>
    <t xml:space="preserve">*RX(8) 02 00 B0 80 5B 13 83 00 </t>
  </si>
  <si>
    <t xml:space="preserve"> RX(8) 01 00 5B 13 83 4D 8C 00 </t>
  </si>
  <si>
    <t xml:space="preserve">*RX(8) 02 00 7F 89 E0 0A CE 0D </t>
  </si>
  <si>
    <t xml:space="preserve"> RX(8) 01 00 E7 7F 88 00 A2 00 </t>
  </si>
  <si>
    <t xml:space="preserve"> RX(8) 02 00 B7 80 7A 13 83 00 </t>
  </si>
  <si>
    <t xml:space="preserve">*RX(8) 01 00 7A 13 83 4E 8C 00 </t>
  </si>
  <si>
    <t xml:space="preserve"> RX(8) 02 00 7F 89 E0 0A 1B 0E </t>
  </si>
  <si>
    <t xml:space="preserve">*RX(8) 01 00 99 7F 88 FE A1 00 </t>
  </si>
  <si>
    <t xml:space="preserve">*RX(8) 02 00 C8 80 C6 13 83 00 </t>
  </si>
  <si>
    <t xml:space="preserve"> RX(8) 01 00 C6 13 83 4F 8C 00 </t>
  </si>
  <si>
    <t xml:space="preserve">*RX(8) 02 00 7E 89 E1 0A 8A 0D </t>
  </si>
  <si>
    <t xml:space="preserve"> RX(8) 02 00 AE 80 50 13 83 00 </t>
  </si>
  <si>
    <t xml:space="preserve">*RX(8) 01 00 4B 13 83 4D 8C 00 </t>
  </si>
  <si>
    <t xml:space="preserve"> RX(8) 02 00 7E 89 E1 0A 54 0D </t>
  </si>
  <si>
    <t xml:space="preserve">*RX(8) 01 00 35 80 88 01 A2 00 </t>
  </si>
  <si>
    <t xml:space="preserve">*RX(8) 02 00 A6 80 2B 13 83 00 </t>
  </si>
  <si>
    <t xml:space="preserve"> RX(8) 01 00 2B 13 83 4D 8C 00 </t>
  </si>
  <si>
    <t xml:space="preserve">*RX(8) 02 00 7D 89 E2 0A F2 0D </t>
  </si>
  <si>
    <t xml:space="preserve"> RX(8) 01 00 84 80 88 02 A2 00 </t>
  </si>
  <si>
    <t xml:space="preserve"> RX(8) 02 00 C8 80 C8 13 83 00 </t>
  </si>
  <si>
    <t xml:space="preserve">*RX(8) 01 00 C8 13 83 4F 8C 00 </t>
  </si>
  <si>
    <t xml:space="preserve"> RX(8) 02 00 7D 89 E2 0A DC 0E </t>
  </si>
  <si>
    <t xml:space="preserve">*RX(8) 01 00 D2 80 88 03 A2 00 </t>
  </si>
  <si>
    <t xml:space="preserve">*RX(8) 02 00 FE 80 C6 14 83 00 </t>
  </si>
  <si>
    <t xml:space="preserve"> RX(8) 01 00 C6 14 83 53 8C 00 </t>
  </si>
  <si>
    <t xml:space="preserve">*RX(8) 02 00 7C 89 E3 0A CE 0E </t>
  </si>
  <si>
    <t xml:space="preserve"> RX(8) 01 00 20 81 88 05 A2 00 </t>
  </si>
  <si>
    <t xml:space="preserve"> RX(8) 02 00 FB 80 B8 14 83 00 </t>
  </si>
  <si>
    <t xml:space="preserve">*RX(8) 01 00 B8 14 83 53 8C 00 </t>
  </si>
  <si>
    <t xml:space="preserve"> RX(8) 02 00 7B 89 E4 0A 2A 0E </t>
  </si>
  <si>
    <t xml:space="preserve">*RX(8) 01 00 58 82 88 09 A2 00 </t>
  </si>
  <si>
    <t xml:space="preserve">*RX(8) 02 00 DD 80 2A 14 83 00 </t>
  </si>
  <si>
    <t xml:space="preserve"> RX(8) 01 00 2A 14 83 51 8C 00 </t>
  </si>
  <si>
    <t xml:space="preserve">*RX(8) 02 00 7A 89 E5 0A 01 0E </t>
  </si>
  <si>
    <t xml:space="preserve"> RX(8) 01 00 A6 82 88 0B A2 00 </t>
  </si>
  <si>
    <t xml:space="preserve"> RX(8) 02 00 D8 80 15 14 83 00 </t>
  </si>
  <si>
    <t xml:space="preserve">*RX(8) 01 00 15 14 83 50 8C 00 </t>
  </si>
  <si>
    <t xml:space="preserve"> RX(8) 02 00 7A 89 E5 0A 2D 0E </t>
  </si>
  <si>
    <t xml:space="preserve">*RX(8) 01 00 43 83 88 0D A2 00 </t>
  </si>
  <si>
    <t xml:space="preserve">*RX(8) 02 00 E2 80 41 14 83 00 </t>
  </si>
  <si>
    <t xml:space="preserve"> RX(8) 01 00 41 14 83 51 8C 00 </t>
  </si>
  <si>
    <t xml:space="preserve">*RX(8) 02 00 7A 89 E5 0A C3 0D </t>
  </si>
  <si>
    <t xml:space="preserve"> RX(8) 02 00 C7 80 C3 13 83 00 </t>
  </si>
  <si>
    <t xml:space="preserve">*RX(8) 01 00 C3 13 83 4F 8C 00 </t>
  </si>
  <si>
    <t xml:space="preserve"> RX(8) 02 00 7B 89 E4 0A 16 0E </t>
  </si>
  <si>
    <t xml:space="preserve">*RX(8) 02 00 D9 80 16 14 83 00 </t>
  </si>
  <si>
    <t xml:space="preserve"> RX(8) 01 00 16 14 83 50 8C 00 </t>
  </si>
  <si>
    <t xml:space="preserve">*RX(8) 02 00 7C 89 E3 0A 2C 0D </t>
  </si>
  <si>
    <t xml:space="preserve"> RX(8) 01 00 0A 82 88 08 A2 00 </t>
  </si>
  <si>
    <t xml:space="preserve"> RX(8) 02 00 B7 80 7B 13 83 00 </t>
  </si>
  <si>
    <t xml:space="preserve">*RX(8) 01 00 7B 13 83 4E 8C 00 </t>
  </si>
  <si>
    <t xml:space="preserve"> RX(8) 02 00 7E 89 E1 0A 09 0E </t>
  </si>
  <si>
    <t xml:space="preserve">*RX(8) 02 00 C4 80 B5 13 83 00 </t>
  </si>
  <si>
    <t xml:space="preserve"> RX(8) 01 00 B5 13 83 4F 8C 00 </t>
  </si>
  <si>
    <t xml:space="preserve">*RX(8) 02 00 7F 89 DF 0A D9 0E </t>
  </si>
  <si>
    <t xml:space="preserve"> RX(8) 01 00 13 7E 88 F8 A1 00 </t>
  </si>
  <si>
    <t xml:space="preserve"> RX(8) 02 00 EB 80 6F 14 83 00 </t>
  </si>
  <si>
    <t xml:space="preserve">*RX(8) 01 00 6F 14 83 52 8C 00 </t>
  </si>
  <si>
    <t xml:space="preserve"> RX(8) 02 00 80 89 DE 0A 89 0E </t>
  </si>
  <si>
    <t xml:space="preserve">*RX(8) 01 00 28 7D 88 F5 A1 00 </t>
  </si>
  <si>
    <t xml:space="preserve">*RX(8) 02 00 D6 80 0A 14 83 00 </t>
  </si>
  <si>
    <t xml:space="preserve"> RX(8) 01 00 0A 14 83 50 8C 00 </t>
  </si>
  <si>
    <t xml:space="preserve">*RX(8) 02 00 81 89 DD 0A FE 0D </t>
  </si>
  <si>
    <t xml:space="preserve"> RX(8) 01 00 DA 7C 88 F3 A1 00 </t>
  </si>
  <si>
    <t xml:space="preserve"> RX(8) 02 00 C3 80 B2 13 83 00 </t>
  </si>
  <si>
    <t xml:space="preserve">*RX(8) 01 00 B2 13 83 4F 8C 00 </t>
  </si>
  <si>
    <t xml:space="preserve"> RX(8) 02 00 80 89 DE 0A 1D 0D </t>
  </si>
  <si>
    <t xml:space="preserve">*RX(8) 01 00 DA 7C 88 F3 A1 00 </t>
  </si>
  <si>
    <t xml:space="preserve">*RX(8) 02 00 87 80 A0 12 83 00 </t>
  </si>
  <si>
    <t xml:space="preserve"> RX(8) 01 00 A0 12 83 4B 8C 00 </t>
  </si>
  <si>
    <t xml:space="preserve">*RX(8) 02 00 80 89 DE 0A 4C 0D </t>
  </si>
  <si>
    <t xml:space="preserve"> RX(8) 01 00 28 7D 88 F5 A1 00 </t>
  </si>
  <si>
    <t xml:space="preserve"> RX(8) 02 00 96 80 E4 12 83 00 </t>
  </si>
  <si>
    <t xml:space="preserve">*RX(8) 01 00 E4 12 83 4C 8C 00 </t>
  </si>
  <si>
    <t xml:space="preserve"> RX(8) 02 00 80 89 DE 0A 65 0D </t>
  </si>
  <si>
    <t xml:space="preserve">*RX(8) 01 00 76 7D 88 F6 A1 00 </t>
  </si>
  <si>
    <t xml:space="preserve">*RX(8) 02 00 9B 80 FD 12 83 00 </t>
  </si>
  <si>
    <t xml:space="preserve"> RX(8) 01 00 FD 12 83 4C 8C 00 </t>
  </si>
  <si>
    <t xml:space="preserve">*RX(8) 02 00 80 89 DE 0A F1 0D </t>
  </si>
  <si>
    <t xml:space="preserve"> RX(8) 01 00 C4 7D 88 F7 A1 00 </t>
  </si>
  <si>
    <t xml:space="preserve"> RX(8) 02 00 BA 80 88 13 83 00 </t>
  </si>
  <si>
    <t xml:space="preserve">*RX(8) 01 00 88 13 83 4E 8C 00 </t>
  </si>
  <si>
    <t xml:space="preserve"> RX(8) 02 00 80 89 DE 0A 2A 0E </t>
  </si>
  <si>
    <t xml:space="preserve">*RX(8) 01 00 C4 7D 88 F7 A1 00 </t>
  </si>
  <si>
    <t xml:space="preserve">*RX(8) 02 00 C5 80 BB 13 83 00 </t>
  </si>
  <si>
    <t xml:space="preserve"> RX(8) 01 00 C1 13 83 4F 8C 00 </t>
  </si>
  <si>
    <t xml:space="preserve">*RX(8) 02 00 80 89 DE 0A 26 0E </t>
  </si>
  <si>
    <t xml:space="preserve"> RX(8) 02 00 C6 80 BD 13 83 00 </t>
  </si>
  <si>
    <t xml:space="preserve">*RX(8) 01 00 BD 13 83 4F 8C 00 </t>
  </si>
  <si>
    <t xml:space="preserve"> RX(8) 02 00 7F 89 DF 0A 97 0D </t>
  </si>
  <si>
    <t xml:space="preserve">*RX(8) 02 00 A7 80 2F 13 83 00 </t>
  </si>
  <si>
    <t xml:space="preserve"> RX(8) 01 00 2F 13 83 4D 8C 00 </t>
  </si>
  <si>
    <t xml:space="preserve"> TX(8) 11 00 4A 00 00 00 00 00 </t>
  </si>
  <si>
    <t xml:space="preserve">*TX(8) 11 00 49 00 00 00 00 00 </t>
  </si>
  <si>
    <t xml:space="preserve"> TX(8) 11 00 48 00 00 00 00 00 </t>
  </si>
  <si>
    <t xml:space="preserve">*TX(8) 11 00 47 00 00 00 00 00 </t>
  </si>
  <si>
    <t xml:space="preserve"> TX(8) 11 00 9C 01 00 00 00 00 </t>
  </si>
  <si>
    <t xml:space="preserve">*RX(8) 11 00 5B 00 00 00 00 00 </t>
  </si>
  <si>
    <t xml:space="preserve">*TX(8) 11 00 8C 01 00 00 00 00 </t>
  </si>
  <si>
    <t xml:space="preserve"> TX(8) 11 00 7C 01 00 00 00 00 </t>
  </si>
  <si>
    <t xml:space="preserve">*TX(8) 11 00 6C 01 00 00 00 00 </t>
  </si>
  <si>
    <t xml:space="preserve"> TX(8) 11 00 5C 01 00 00 00 00 </t>
  </si>
  <si>
    <t xml:space="preserve">*TX(8) 11 00 4C 01 00 00 00 00 </t>
  </si>
  <si>
    <t xml:space="preserve"> TX(8) 11 00 3C 01 00 00 00 00 </t>
  </si>
  <si>
    <t xml:space="preserve">*TX(8) 11 00 2C 01 00 00 00 00 </t>
  </si>
  <si>
    <t xml:space="preserve"> TX(8) 11 00 1C 01 00 00 00 00 </t>
  </si>
  <si>
    <t xml:space="preserve">*TX(8) 11 00 0C 01 00 00 00 00 </t>
  </si>
  <si>
    <t xml:space="preserve"> RX(8) 11 00 00 A0 86 81 00 00 </t>
  </si>
  <si>
    <t xml:space="preserve"> TX(8) 11 00 41 00 00 00 00 00 </t>
  </si>
  <si>
    <t xml:space="preserve">*RX(8) 11 00 01 00 01 00 00 00 </t>
  </si>
  <si>
    <t xml:space="preserve">*TX(8) 11 00 44 00 00 00 00 00 </t>
  </si>
  <si>
    <t xml:space="preserve"> RX(8) 11 00 01 00 00 00 00 00 </t>
  </si>
  <si>
    <t xml:space="preserve"> TX(8) 11 00 43 00 00 00 00 00 </t>
  </si>
  <si>
    <t xml:space="preserve">*TX(8) 11 00 08 01 00 00 00 00 </t>
  </si>
  <si>
    <t xml:space="preserve"> TX(8) 11 00 3C 00 00 00 00 00 </t>
  </si>
  <si>
    <t xml:space="preserve"> RX(8) 11 00 08 00 FF FF 00 00 </t>
  </si>
  <si>
    <t xml:space="preserve"> TX(8) 11 00 42 00 00 00 00 00 </t>
  </si>
  <si>
    <t xml:space="preserve">*RX(8) 11 00 54 A7 00 00 00 00 </t>
  </si>
  <si>
    <t xml:space="preserve">*TX(8) 11 00 01 00 00 00 00 00 </t>
  </si>
  <si>
    <t xml:space="preserve">*RX(8) 02 00 71 89 F1 0A 23 11 </t>
  </si>
  <si>
    <t xml:space="preserve"> RX(8) 01 00 6A 8C 88 32 A2 00 </t>
  </si>
  <si>
    <t xml:space="preserve"> RX(8) 02 00 C0 81 97 18 83 00 </t>
  </si>
  <si>
    <t xml:space="preserve">*RX(8) 01 00 97 18 83 62 8C 00 </t>
  </si>
  <si>
    <t xml:space="preserve"> RX(8) 02 00 6F 89 F3 0A 2B 10 </t>
  </si>
  <si>
    <t xml:space="preserve">*RX(8) 02 00 6F 81 F8 16 83 00 </t>
  </si>
  <si>
    <t xml:space="preserve"> RX(8) 01 00 F8 16 83 5C 8C 00 </t>
  </si>
  <si>
    <t xml:space="preserve">*RX(8) 02 00 76 89 EA 0A 12 10 </t>
  </si>
  <si>
    <t xml:space="preserve"> RX(8) 01 00 EC 86 88 1C A2 00 </t>
  </si>
  <si>
    <t xml:space="preserve"> RX(8) 02 00 45 81 24 16 83 00 </t>
  </si>
  <si>
    <t xml:space="preserve">*RX(8) 01 00 24 16 83 59 8C 00 </t>
  </si>
  <si>
    <t xml:space="preserve"> RX(8) 02 00 7E 89 E1 0A 36 11 </t>
  </si>
  <si>
    <t xml:space="preserve">*RX(8) 01 00 20 81 88 05 A2 00 </t>
  </si>
  <si>
    <t xml:space="preserve">*RX(8) 02 00 6E 81 F3 16 83 00 </t>
  </si>
  <si>
    <t xml:space="preserve"> RX(8) 01 00 F3 16 83 5C 8C 00 </t>
  </si>
  <si>
    <t xml:space="preserve">*RX(8) 02 00 7E 89 E1 0A 5D 10 </t>
  </si>
  <si>
    <t xml:space="preserve"> RX(8) 01 00 35 80 88 01 A2 00 </t>
  </si>
  <si>
    <t xml:space="preserve"> RX(8) 02 00 48 81 31 16 83 00 </t>
  </si>
  <si>
    <t xml:space="preserve">*RX(8) 01 00 31 16 83 59 8C 00 </t>
  </si>
  <si>
    <t xml:space="preserve"> RX(8) 02 00 7C 89 E3 0A 95 10 </t>
  </si>
  <si>
    <t xml:space="preserve">*RX(8) 02 00 5B 81 92 16 83 00 </t>
  </si>
  <si>
    <t xml:space="preserve"> RX(8) 01 00 92 16 83 5A 8C 00 </t>
  </si>
  <si>
    <t xml:space="preserve">*RX(8) 02 00 7A 89 E5 0A 95 10 </t>
  </si>
  <si>
    <t xml:space="preserve"> RX(8) 02 00 5F 81 A6 16 83 00 </t>
  </si>
  <si>
    <t xml:space="preserve">*RX(8) 01 00 A6 16 83 5B 8C 00 </t>
  </si>
  <si>
    <t xml:space="preserve"> RX(8) 02 00 79 89 E7 0A 99 10 </t>
  </si>
  <si>
    <t xml:space="preserve">*RX(8) 01 00 2D 84 88 11 A2 00 </t>
  </si>
  <si>
    <t xml:space="preserve">*RX(8) 02 00 73 81 0D 17 83 00 </t>
  </si>
  <si>
    <t xml:space="preserve"> RX(8) 01 00 0D 17 83 5C 8C 00 </t>
  </si>
  <si>
    <t xml:space="preserve">*RX(8) 02 00 78 89 E8 0A 85 10 </t>
  </si>
  <si>
    <t xml:space="preserve"> RX(8) 02 00 64 81 C0 16 83 00 </t>
  </si>
  <si>
    <t xml:space="preserve">*RX(8) 01 00 C0 16 83 5B 8C 00 </t>
  </si>
  <si>
    <t xml:space="preserve"> RX(8) 02 00 78 89 E8 0A D7 10 </t>
  </si>
  <si>
    <t xml:space="preserve">*RX(8) 01 00 66 85 88 16 A2 00 </t>
  </si>
  <si>
    <t xml:space="preserve">*RX(8) 02 00 74 81 12 17 83 00 </t>
  </si>
  <si>
    <t xml:space="preserve"> RX(8) 01 00 12 17 83 5C 8C 00 </t>
  </si>
  <si>
    <t xml:space="preserve">*RX(8) 02 00 78 89 E8 0A 81 10 </t>
  </si>
  <si>
    <t xml:space="preserve"> RX(8) 01 00 66 85 88 16 A2 00 </t>
  </si>
  <si>
    <t xml:space="preserve"> RX(8) 02 00 76 81 1A 17 83 00 </t>
  </si>
  <si>
    <t xml:space="preserve">*RX(8) 01 00 1A 17 83 5C 8C 00 </t>
  </si>
  <si>
    <t xml:space="preserve"> RX(8) 02 00 77 89 E9 0A 4B 11 </t>
  </si>
  <si>
    <t xml:space="preserve">*RX(8) 01 00 02 86 88 18 A2 00 </t>
  </si>
  <si>
    <t xml:space="preserve">*RX(8) 02 00 8F 81 9A 17 83 00 </t>
  </si>
  <si>
    <t xml:space="preserve"> RX(8) 01 00 9A 17 83 5E 8C 00 </t>
  </si>
  <si>
    <t xml:space="preserve">*RX(8) 02 00 77 89 E9 0A 83 10 </t>
  </si>
  <si>
    <t xml:space="preserve"> RX(8) 01 00 50 86 88 19 A2 00 </t>
  </si>
  <si>
    <t xml:space="preserve"> RX(8) 02 00 68 81 D3 16 83 00 </t>
  </si>
  <si>
    <t xml:space="preserve">*RX(8) 01 00 D3 16 83 5B 8C 00 </t>
  </si>
  <si>
    <t xml:space="preserve"> RX(8) 02 00 77 89 E9 0A 15 11 </t>
  </si>
  <si>
    <t xml:space="preserve">*RX(8) 01 00 50 86 88 19 A2 00 </t>
  </si>
  <si>
    <t xml:space="preserve">*RX(8) 02 00 85 81 65 17 83 00 </t>
  </si>
  <si>
    <t xml:space="preserve"> RX(8) 01 00 65 17 83 5E 8C 00 </t>
  </si>
  <si>
    <t xml:space="preserve">*RX(8) 02 00 77 89 E9 0A 63 10 </t>
  </si>
  <si>
    <t xml:space="preserve"> RX(8) 02 00 62 81 B3 16 83 00 </t>
  </si>
  <si>
    <t xml:space="preserve">*RX(8) 01 00 B3 16 83 5B 8C 00 </t>
  </si>
  <si>
    <t xml:space="preserve"> RX(8) 02 00 77 89 E9 0A 5F 10 </t>
  </si>
  <si>
    <t xml:space="preserve">*RX(8) 01 00 9E 86 88 1A A2 00 </t>
  </si>
  <si>
    <t xml:space="preserve">*RX(8) 02 00 65 81 C5 16 83 00 </t>
  </si>
  <si>
    <t xml:space="preserve"> RX(8) 01 00 C5 16 83 5B 8C 00 </t>
  </si>
  <si>
    <t xml:space="preserve">*RX(8) 02 00 75 89 EB 0A AF 10 </t>
  </si>
  <si>
    <t xml:space="preserve"> RX(8) 01 00 3A 87 88 1D A2 00 </t>
  </si>
  <si>
    <t xml:space="preserve"> RX(8) 02 00 68 81 D4 16 83 00 </t>
  </si>
  <si>
    <t xml:space="preserve">*RX(8) 01 00 D4 16 83 5B 8C 00 </t>
  </si>
  <si>
    <t xml:space="preserve"> RX(8) 02 00 75 89 EC 0A E8 0F </t>
  </si>
  <si>
    <t xml:space="preserve">*RX(8) 01 00 25 88 88 21 A2 00 </t>
  </si>
  <si>
    <t xml:space="preserve">*RX(8) 02 00 52 81 63 16 83 00 </t>
  </si>
  <si>
    <t xml:space="preserve"> RX(8) 01 00 63 16 83 5A 8C 00 </t>
  </si>
  <si>
    <t xml:space="preserve">*RX(8) 02 00 75 89 EC 0A 84 10 </t>
  </si>
  <si>
    <t xml:space="preserve"> RX(8) 01 00 73 88 88 22 A2 00 </t>
  </si>
  <si>
    <t xml:space="preserve"> RX(8) 02 00 70 81 FE 16 83 00 </t>
  </si>
  <si>
    <t xml:space="preserve">*RX(8) 01 00 FE 16 83 5C 8C 00 </t>
  </si>
  <si>
    <t xml:space="preserve"> RX(8) 02 00 75 89 EC 0A 7F 0F </t>
  </si>
  <si>
    <t xml:space="preserve">*RX(8) 02 00 5E 81 A2 16 83 00 </t>
  </si>
  <si>
    <t xml:space="preserve"> RX(8) 01 00 FA 15 83 58 8C 00 </t>
  </si>
  <si>
    <t xml:space="preserve">*RX(8) 02 00 73 89 EE 0A 55 10 </t>
  </si>
  <si>
    <t xml:space="preserve"> RX(8) 01 00 5D 89 88 25 A2 00 </t>
  </si>
  <si>
    <t xml:space="preserve"> RX(8) 02 00 6F 81 F9 16 83 00 </t>
  </si>
  <si>
    <t xml:space="preserve">*RX(8) 01 00 F9 16 83 5C 8C 00 </t>
  </si>
  <si>
    <t xml:space="preserve"> RX(8) 02 00 74 89 ED 0A 03 10 </t>
  </si>
  <si>
    <t xml:space="preserve">*RX(8) 01 00 5D 89 88 25 A2 00 </t>
  </si>
  <si>
    <t xml:space="preserve">*RX(8) 02 00 5F 81 A7 16 83 00 </t>
  </si>
  <si>
    <t xml:space="preserve"> RX(8) 01 00 A7 16 83 5B 8C 00 </t>
  </si>
  <si>
    <t xml:space="preserve">*RX(8) 02 00 73 89 EE 0A 1F 10 </t>
  </si>
  <si>
    <t xml:space="preserve"> RX(8) 01 00 AB 89 88 27 A2 00 </t>
  </si>
  <si>
    <t xml:space="preserve"> RX(8) 02 00 65 81 C3 16 83 00 </t>
  </si>
  <si>
    <t xml:space="preserve">*RX(8) 01 00 C3 16 83 5B 8C 00 </t>
  </si>
  <si>
    <t xml:space="preserve"> RX(8) 02 00 73 89 EE 0A B2 10 </t>
  </si>
  <si>
    <t xml:space="preserve">*RX(8) 01 00 48 8A 88 29 A2 00 </t>
  </si>
  <si>
    <t xml:space="preserve">*RX(8) 02 00 74 81 11 17 83 00 </t>
  </si>
  <si>
    <t xml:space="preserve"> RX(8) 01 00 6A 17 83 5E 8C 00 </t>
  </si>
  <si>
    <t xml:space="preserve">*RX(8) 02 00 71 89 F0 0A 21 10 </t>
  </si>
  <si>
    <t xml:space="preserve"> RX(8) 01 00 80 8B 88 2E A2 00 </t>
  </si>
  <si>
    <t xml:space="preserve"> RX(8) 02 00 6D 81 EE 16 83 00 </t>
  </si>
  <si>
    <t xml:space="preserve">*RX(8) 01 00 EE 16 83 5C 8C 00 </t>
  </si>
  <si>
    <t xml:space="preserve"> RX(8) 02 00 71 89 F1 0A 3C 10 </t>
  </si>
  <si>
    <t xml:space="preserve">*RX(8) 01 00 6A 8C 88 32 A2 00 </t>
  </si>
  <si>
    <t xml:space="preserve">*RX(8) 02 00 77 81 1F 17 83 00 </t>
  </si>
  <si>
    <t xml:space="preserve"> RX(8) 01 00 1F 17 83 5C 8C 00 </t>
  </si>
  <si>
    <t xml:space="preserve">*RX(8) 02 00 6F 89 F3 0A F7 0F </t>
  </si>
  <si>
    <t xml:space="preserve"> RX(8) 02 00 72 81 05 17 83 00 </t>
  </si>
  <si>
    <t xml:space="preserve">*RX(8) 01 00 05 17 83 5C 8C 00 </t>
  </si>
  <si>
    <t xml:space="preserve"> RX(8) 02 00 6D 89 F5 0A 10 0F </t>
  </si>
  <si>
    <t xml:space="preserve">*RX(8) 01 00 78 8F 88 3E A2 00 </t>
  </si>
  <si>
    <t xml:space="preserve">*RX(8) 02 00 4C 81 48 16 83 00 </t>
  </si>
  <si>
    <t xml:space="preserve"> RX(8) 01 00 48 16 83 59 8C 00 </t>
  </si>
  <si>
    <t xml:space="preserve">*RX(8) 02 00 6B 89 F8 0A C3 0E </t>
  </si>
  <si>
    <t xml:space="preserve"> RX(8) 01 00 E9 91 88 48 A2 00 </t>
  </si>
  <si>
    <t xml:space="preserve"> RX(8) 02 00 34 81 CF 15 83 00 </t>
  </si>
  <si>
    <t xml:space="preserve">*RX(8) 01 00 26 16 83 59 8C 00 </t>
  </si>
  <si>
    <t xml:space="preserve"> RX(8) 02 00 6C 89 F7 0A 6E 0E </t>
  </si>
  <si>
    <t xml:space="preserve">*RX(8) 01 00 E9 91 88 48 A2 00 </t>
  </si>
  <si>
    <t xml:space="preserve">*RX(8) 02 00 2C 81 A7 15 83 00 </t>
  </si>
  <si>
    <t xml:space="preserve"> RX(8) 01 00 A7 15 83 57 8C 00 </t>
  </si>
  <si>
    <t xml:space="preserve">*RX(8) 02 00 6C 89 F6 0A 93 0F </t>
  </si>
  <si>
    <t xml:space="preserve"> RX(8) 01 00 B0 90 88 43 A2 00 </t>
  </si>
  <si>
    <t xml:space="preserve"> RX(8) 02 00 62 81 B6 16 83 00 </t>
  </si>
  <si>
    <t xml:space="preserve">*RX(8) 01 00 B6 16 83 5B 8C 00 </t>
  </si>
  <si>
    <t xml:space="preserve"> RX(8) 02 00 6F 89 F3 0A 57 0F </t>
  </si>
  <si>
    <t xml:space="preserve">*RX(8) 01 00 F1 8D 88 38 A2 00 </t>
  </si>
  <si>
    <t xml:space="preserve">*RX(8) 02 00 4E 81 4F 16 83 00 </t>
  </si>
  <si>
    <t xml:space="preserve"> RX(8) 01 00 4F 16 83 59 8C 00 </t>
  </si>
  <si>
    <t>left for 15 min to see if it would go SS</t>
  </si>
  <si>
    <t>Note: looks like there is some kind of problem caused by removing the zeroing data. Need to make a zeroing again and redo.</t>
  </si>
  <si>
    <t xml:space="preserve"> RX(8) 02 00 95 89 C5 0A 36 17 </t>
  </si>
  <si>
    <t xml:space="preserve">*RX(8) 01 00 EE 69 88 A8 A1 00 </t>
  </si>
  <si>
    <t xml:space="preserve">*RX(8) 02 00 38 82 0E 1B 83 00 </t>
  </si>
  <si>
    <t xml:space="preserve"> RX(8) 01 00 0E 1B 83 6C 8C 00 </t>
  </si>
  <si>
    <t xml:space="preserve">*RX(8) 02 00 95 89 C5 0A 75 17 </t>
  </si>
  <si>
    <t xml:space="preserve"> RX(8) 01 00 3C 6A 88 A9 A1 00 </t>
  </si>
  <si>
    <t xml:space="preserve"> RX(8) 02 00 47 82 5F 1B 83 00 </t>
  </si>
  <si>
    <t xml:space="preserve">*RX(8) 01 00 5F 1B 83 6D 8C 00 </t>
  </si>
  <si>
    <t xml:space="preserve"> RX(8) 02 00 93 89 C7 0A 9F 17 </t>
  </si>
  <si>
    <t xml:space="preserve">*RX(8) 01 00 75 6B 88 AE A1 00 </t>
  </si>
  <si>
    <t xml:space="preserve">*RX(8) 02 00 53 82 A0 1B 83 00 </t>
  </si>
  <si>
    <t xml:space="preserve"> RX(8) 01 00 A0 1B 83 6F 8C 00 </t>
  </si>
  <si>
    <t xml:space="preserve">*RX(8) 02 00 93 89 C7 0A 79 17 </t>
  </si>
  <si>
    <t xml:space="preserve"> RX(8) 01 00 11 6C 88 B0 A1 00 </t>
  </si>
  <si>
    <t xml:space="preserve"> RX(8) 02 00 50 82 90 1B 83 00 </t>
  </si>
  <si>
    <t xml:space="preserve">*RX(8) 01 00 90 1B 83 6E 8C 00 </t>
  </si>
  <si>
    <t xml:space="preserve"> RX(8) 02 00 92 89 C9 0A 2A 17 </t>
  </si>
  <si>
    <t xml:space="preserve">*RX(8) 01 00 FC 6C 88 B4 A1 00 </t>
  </si>
  <si>
    <t xml:space="preserve">*RX(8) 02 00 42 82 41 1B 83 00 </t>
  </si>
  <si>
    <t xml:space="preserve"> RX(8) 01 00 41 1B 83 6D 8C 00 </t>
  </si>
  <si>
    <t xml:space="preserve">*RX(8) 02 00 91 89 CA 0A 3F 17 </t>
  </si>
  <si>
    <t xml:space="preserve"> RX(8) 01 00 E6 6D 88 B8 A1 00 </t>
  </si>
  <si>
    <t xml:space="preserve"> RX(8) 02 00 4A 82 6B 1B 83 00 </t>
  </si>
  <si>
    <t xml:space="preserve">*RX(8) 01 00 6B 1B 83 6E 8C 00 </t>
  </si>
  <si>
    <t xml:space="preserve"> RX(8) 02 00 90 89 CB 0A 2B 17 </t>
  </si>
  <si>
    <t xml:space="preserve">*RX(8) 01 00 82 6E 88 BA A1 00 </t>
  </si>
  <si>
    <t xml:space="preserve">*RX(8) 02 00 4D 82 7C 1B 83 00 </t>
  </si>
  <si>
    <t xml:space="preserve"> RX(8) 01 00 7C 1B 83 6E 8C 00 </t>
  </si>
  <si>
    <t xml:space="preserve">*RX(8) 02 00 91 89 CA 0A C0 17 </t>
  </si>
  <si>
    <t xml:space="preserve"> RX(8) 01 00 34 6E 88 B9 A1 00 </t>
  </si>
  <si>
    <t xml:space="preserve"> RX(8) 02 00 65 82 00 1C 83 00 </t>
  </si>
  <si>
    <t xml:space="preserve">*RX(8) 01 00 00 1C 83 70 8C 00 </t>
  </si>
  <si>
    <t xml:space="preserve"> RX(8) 02 00 8F 89 CC 0A E9 17 </t>
  </si>
  <si>
    <t xml:space="preserve">*RX(8) 01 00 6D 6F 88 BE A1 00 </t>
  </si>
  <si>
    <t xml:space="preserve">*RX(8) 02 00 75 82 53 1C 83 00 </t>
  </si>
  <si>
    <t xml:space="preserve"> RX(8) 01 00 53 1C 83 71 8C 00 </t>
  </si>
  <si>
    <t xml:space="preserve">*RX(8) 02 00 8D 89 CE 0A 77 17 </t>
  </si>
  <si>
    <t xml:space="preserve"> RX(8) 01 00 57 70 88 C1 A1 00 </t>
  </si>
  <si>
    <t xml:space="preserve"> RX(8) 02 00 63 82 F5 1B 83 00 </t>
  </si>
  <si>
    <t xml:space="preserve">*RX(8) 01 00 F5 1B 83 70 8C 00 </t>
  </si>
  <si>
    <t xml:space="preserve"> RX(8) 02 00 8D 89 CE 0A A2 17 </t>
  </si>
  <si>
    <t xml:space="preserve">*RX(8) 01 00 F3 70 88 C4 A1 00 </t>
  </si>
  <si>
    <t xml:space="preserve">*RX(8) 02 00 6B 82 20 1C 83 00 </t>
  </si>
  <si>
    <t xml:space="preserve"> RX(8) 01 00 20 1C 83 71 8C 00 </t>
  </si>
  <si>
    <t xml:space="preserve">*RX(8) 02 00 8D 89 CE 0A 40 17 </t>
  </si>
  <si>
    <t xml:space="preserve"> RX(8) 01 00 41 71 88 C5 A1 00 </t>
  </si>
  <si>
    <t xml:space="preserve"> RX(8) 02 00 59 82 BE 1B 83 00 </t>
  </si>
  <si>
    <t xml:space="preserve">*RX(8) 01 00 BE 1B 83 6F 8C 00 </t>
  </si>
  <si>
    <t xml:space="preserve"> RX(8) 02 00 8C 89 D0 0A D1 17 </t>
  </si>
  <si>
    <t xml:space="preserve">*RX(8) 01 00 DE 71 88 C7 A1 00 </t>
  </si>
  <si>
    <t xml:space="preserve">*RX(8) 02 00 78 82 64 1C 83 00 </t>
  </si>
  <si>
    <t xml:space="preserve"> RX(8) 01 00 64 1C 83 72 8C 00 </t>
  </si>
  <si>
    <t xml:space="preserve">*RX(8) 02 00 8C 89 D0 0A 59 17 </t>
  </si>
  <si>
    <t xml:space="preserve"> RX(8) 01 00 C8 72 88 CB A1 00 </t>
  </si>
  <si>
    <t xml:space="preserve"> RX(8) 02 00 62 82 ED 1B 83 00 </t>
  </si>
  <si>
    <t xml:space="preserve">*RX(8) 01 00 ED 1B 83 70 8C 00 </t>
  </si>
  <si>
    <t xml:space="preserve"> RX(8) 02 00 8C 89 D0 0A C2 16 </t>
  </si>
  <si>
    <t xml:space="preserve">*RX(8) 01 00 16 73 88 CC A1 00 </t>
  </si>
  <si>
    <t xml:space="preserve">*RX(8) 02 00 46 82 56 1B 83 00 </t>
  </si>
  <si>
    <t xml:space="preserve"> RX(8) 01 00 56 1B 83 6D 8C 00 </t>
  </si>
  <si>
    <t xml:space="preserve">*RX(8) 02 00 8D 89 CF 0A B0 16 </t>
  </si>
  <si>
    <t xml:space="preserve"> RX(8) 01 00 2C 72 88 C9 A1 00 </t>
  </si>
  <si>
    <t xml:space="preserve"> RX(8) 02 00 3E 82 2F 1B 83 00 </t>
  </si>
  <si>
    <t xml:space="preserve">*RX(8) 01 00 2F 1B 83 6D 8C 00 </t>
  </si>
  <si>
    <t xml:space="preserve"> RX(8) 02 00 8D 89 CF 0A 49 17 </t>
  </si>
  <si>
    <t xml:space="preserve">*RX(8) 02 00 5B 82 C7 1B 83 00 </t>
  </si>
  <si>
    <t xml:space="preserve"> RX(8) 01 00 C7 1B 83 6F 8C 00 </t>
  </si>
  <si>
    <t xml:space="preserve">*RX(8) 02 00 8D 89 CE 0A E0 16 </t>
  </si>
  <si>
    <t xml:space="preserve"> RX(8) 01 00 A5 70 88 C3 A1 00 </t>
  </si>
  <si>
    <t xml:space="preserve"> RX(8) 02 00 8D 89 CE 0A D3 16 </t>
  </si>
  <si>
    <t xml:space="preserve">*RX(8) 02 00 54 82 A5 1B 83 00 </t>
  </si>
  <si>
    <t xml:space="preserve"> RX(8) 01 00 52 1B 83 6D 8C 00 </t>
  </si>
  <si>
    <t xml:space="preserve">*RX(8) 02 00 8B 89 D1 0A 4F 17 </t>
  </si>
  <si>
    <t xml:space="preserve"> RX(8) 01 00 7A 72 88 CA A1 00 </t>
  </si>
  <si>
    <t xml:space="preserve"> RX(8) 02 00 60 82 E3 1B 83 00 </t>
  </si>
  <si>
    <t xml:space="preserve">*RX(8) 01 00 E3 1B 83 70 8C 00 </t>
  </si>
  <si>
    <t xml:space="preserve"> RX(8) 02 00 8C 89 D0 0A 31 17 </t>
  </si>
  <si>
    <t xml:space="preserve">*RX(8) 01 00 7A 72 88 CA A1 00 </t>
  </si>
  <si>
    <t xml:space="preserve">*RX(8) 02 00 5A 82 C5 1B 83 00 </t>
  </si>
  <si>
    <t xml:space="preserve"> RX(8) 01 00 C5 1B 83 6F 8C 00 </t>
  </si>
  <si>
    <t xml:space="preserve">*RX(8) 02 00 8D 89 CF 0A 1A 17 </t>
  </si>
  <si>
    <t xml:space="preserve"> RX(8) 02 00 52 82 99 1B 83 00 </t>
  </si>
  <si>
    <t xml:space="preserve">*RX(8) 01 00 99 1B 83 6E 8C 00 </t>
  </si>
  <si>
    <t xml:space="preserve"> RX(8) 02 00 8D 89 CF 0A F6 16 </t>
  </si>
  <si>
    <t xml:space="preserve">*RX(8) 01 00 2C 72 88 C9 A1 00 </t>
  </si>
  <si>
    <t xml:space="preserve">*RX(8) 02 00 4F 82 8A 1B 83 00 </t>
  </si>
  <si>
    <t xml:space="preserve"> RX(8) 01 00 8A 1B 83 6E 8C 00 </t>
  </si>
  <si>
    <t xml:space="preserve">*RX(8) 02 00 8C 89 D0 0A 71 17 </t>
  </si>
  <si>
    <t xml:space="preserve"> RX(8) 01 00 16 73 88 CC A1 00 </t>
  </si>
  <si>
    <t xml:space="preserve"> RX(8) 02 00 66 82 04 1C 83 00 </t>
  </si>
  <si>
    <t xml:space="preserve">*RX(8) 01 00 04 1C 83 70 8C 00 </t>
  </si>
  <si>
    <t xml:space="preserve"> RX(8) 02 00 8B 89 D1 0A EE 16 </t>
  </si>
  <si>
    <t xml:space="preserve">*RX(8) 02 00 4E 82 82 1B 83 00 </t>
  </si>
  <si>
    <t xml:space="preserve"> RX(8) 01 00 82 1B 83 6E 8C 00 </t>
  </si>
  <si>
    <t xml:space="preserve">*RX(8) 02 00 8D 89 CF 0A D7 16 </t>
  </si>
  <si>
    <t xml:space="preserve"> RX(8) 02 00 46 82 56 1B 83 00 </t>
  </si>
  <si>
    <t xml:space="preserve">*RX(8) 01 00 56 1B 83 6D 8C 00 </t>
  </si>
  <si>
    <t xml:space="preserve"> RX(8) 02 00 8D 89 CE 0A C5 15 </t>
  </si>
  <si>
    <t xml:space="preserve">*RX(8) 02 00 12 82 45 1A 83 00 </t>
  </si>
  <si>
    <t xml:space="preserve"> RX(8) 01 00 45 1A 83 69 8C 00 </t>
  </si>
  <si>
    <t xml:space="preserve">*RX(8) 02 00 8E 89 CD 0A C1 16 </t>
  </si>
  <si>
    <t xml:space="preserve"> RX(8) 01 00 09 70 88 C0 A1 00 </t>
  </si>
  <si>
    <t xml:space="preserve"> RX(8) 02 00 3A 82 17 1B 83 00 </t>
  </si>
  <si>
    <t xml:space="preserve">*RX(8) 01 00 17 1B 83 6C 8C 00 </t>
  </si>
  <si>
    <t xml:space="preserve"> RX(8) 02 00 8D 89 CE 0A EC 16 </t>
  </si>
  <si>
    <t xml:space="preserve">*RX(8) 01 00 09 70 88 C0 A1 00 </t>
  </si>
  <si>
    <t xml:space="preserve">*RX(8) 02 00 50 82 8C 1B 83 00 </t>
  </si>
  <si>
    <t xml:space="preserve"> RX(8) 01 00 8C 1B 83 6E 8C 00 </t>
  </si>
  <si>
    <t xml:space="preserve">*RX(8) 02 00 8D 89 CF 0A D8 16 </t>
  </si>
  <si>
    <t xml:space="preserve"> RX(8) 02 00 4A 82 6C 1B 83 00 </t>
  </si>
  <si>
    <t xml:space="preserve">*RX(8) 01 00 6C 1B 83 6E 8C 00 </t>
  </si>
  <si>
    <t xml:space="preserve">*RX(8) 02 00 9B 89 BE 0A C3 3B </t>
  </si>
  <si>
    <t xml:space="preserve"> RX(8) 01 00 70 64 88 92 A1 00 </t>
  </si>
  <si>
    <t xml:space="preserve"> RX(8) 02 00 00 88 50 3F 83 00 </t>
  </si>
  <si>
    <t xml:space="preserve">*RX(8) 01 00 50 3F 83 FD 8C 00 </t>
  </si>
  <si>
    <t xml:space="preserve"> RX(8) 02 00 99 89 C0 0A CD 3B </t>
  </si>
  <si>
    <t xml:space="preserve">*RX(8) 01 00 A9 65 88 97 A1 00 </t>
  </si>
  <si>
    <t xml:space="preserve">*RX(8) 02 00 00 88 39 3F 83 00 </t>
  </si>
  <si>
    <t xml:space="preserve"> RX(8) 01 00 39 3F 83 FD 8C 00 </t>
  </si>
  <si>
    <t xml:space="preserve">*RX(8) 02 00 98 89 C1 0A E9 3A </t>
  </si>
  <si>
    <t xml:space="preserve"> RX(8) 01 00 E1 66 88 9C A1 00 </t>
  </si>
  <si>
    <t xml:space="preserve"> RX(8) 02 00 00 88 6A 3E 83 00 </t>
  </si>
  <si>
    <t xml:space="preserve">*RX(8) 01 00 6A 3E 83 FA 8C 00 </t>
  </si>
  <si>
    <t xml:space="preserve"> RX(8) 02 00 97 89 C2 0A 52 3B </t>
  </si>
  <si>
    <t xml:space="preserve">*RX(8) 01 00 7D 67 88 9E A1 00 </t>
  </si>
  <si>
    <t xml:space="preserve">*RX(8) 02 00 00 88 E7 3E 83 00 </t>
  </si>
  <si>
    <t xml:space="preserve"> RX(8) 01 00 E7 3E 83 FC 8C 00 </t>
  </si>
  <si>
    <t xml:space="preserve">*RX(8) 02 00 97 89 C3 0A CC 3A </t>
  </si>
  <si>
    <t xml:space="preserve"> RX(8) 01 00 B6 68 88 A3 A1 00 </t>
  </si>
  <si>
    <t xml:space="preserve"> RX(8) 02 00 00 88 61 3E 83 00 </t>
  </si>
  <si>
    <t xml:space="preserve">*RX(8) 01 00 61 3E 83 FA 8C 00 </t>
  </si>
  <si>
    <t xml:space="preserve"> RX(8) 02 00 97 89 C2 0A 05 3B </t>
  </si>
  <si>
    <t xml:space="preserve">*RX(8) 02 00 00 88 E6 3E 83 00 </t>
  </si>
  <si>
    <t xml:space="preserve"> RX(8) 01 00 E6 3E 83 FC 8C 00 </t>
  </si>
  <si>
    <t xml:space="preserve">*RX(8) 02 00 94 89 C6 0A 0E 3B </t>
  </si>
  <si>
    <t xml:space="preserve"> RX(8) 01 00 A0 69 88 A7 A1 00 </t>
  </si>
  <si>
    <t xml:space="preserve"> RX(8) 02 00 00 88 F5 3E 83 00 </t>
  </si>
  <si>
    <t xml:space="preserve">*RX(8) 01 00 F5 3E 83 FC 8C 00 </t>
  </si>
  <si>
    <t xml:space="preserve"> RX(8) 02 00 92 89 C8 0A E1 3A </t>
  </si>
  <si>
    <t xml:space="preserve">*RX(8) 01 00 5F 6C 88 B1 A1 00 </t>
  </si>
  <si>
    <t xml:space="preserve">*RX(8) 02 00 00 88 DC 3E 83 00 </t>
  </si>
  <si>
    <t xml:space="preserve"> RX(8) 01 00 DC 3E 83 FB 8C 00 </t>
  </si>
  <si>
    <t xml:space="preserve">*RX(8) 02 00 92 89 C8 0A 1D 3B </t>
  </si>
  <si>
    <t xml:space="preserve"> RX(8) 01 00 5F 6C 88 B1 A1 00 </t>
  </si>
  <si>
    <t xml:space="preserve"> RX(8) 02 00 00 88 C2 3E 83 00 </t>
  </si>
  <si>
    <t xml:space="preserve">*RX(8) 01 00 C2 3E 83 FB 8C 00 </t>
  </si>
  <si>
    <t xml:space="preserve"> RX(8) 02 00 93 89 C7 0A D9 3A </t>
  </si>
  <si>
    <t xml:space="preserve">*RX(8) 02 00 00 88 AC 3E 83 00 </t>
  </si>
  <si>
    <t xml:space="preserve"> RX(8) 01 00 AC 3E 83 FB 8C 00 </t>
  </si>
  <si>
    <t xml:space="preserve">*RX(8) 02 00 95 89 C5 0A F7 3A </t>
  </si>
  <si>
    <t xml:space="preserve"> RX(8) 01 00 EE 69 88 A8 A1 00 </t>
  </si>
  <si>
    <t xml:space="preserve"> RX(8) 02 00 00 88 8C 3E 83 00 </t>
  </si>
  <si>
    <t xml:space="preserve">*RX(8) 01 00 8C 3E 83 FA 8C 00 </t>
  </si>
  <si>
    <t xml:space="preserve"> RX(8) 02 00 99 89 C0 0A 8A 3A </t>
  </si>
  <si>
    <t xml:space="preserve">*RX(8) 02 00 00 88 E2 3D 83 00 </t>
  </si>
  <si>
    <t xml:space="preserve"> RX(8) 01 00 E2 3D 83 F8 8C 00 </t>
  </si>
  <si>
    <t xml:space="preserve">*RX(8) 02 00 9A 89 BF 0A E2 3A </t>
  </si>
  <si>
    <t xml:space="preserve"> RX(8) 01 00 A9 65 88 97 A1 00 </t>
  </si>
  <si>
    <t xml:space="preserve"> RX(8) 02 00 00 88 3A 3E 83 00 </t>
  </si>
  <si>
    <t xml:space="preserve">*RX(8) 01 00 3A 3E 83 F9 8C 00 </t>
  </si>
  <si>
    <t xml:space="preserve"> RX(8) 02 00 99 89 C0 0A 39 3B </t>
  </si>
  <si>
    <t xml:space="preserve">*RX(8) 01 00 F7 65 88 98 A1 00 </t>
  </si>
  <si>
    <t xml:space="preserve">*RX(8) 02 00 00 88 A5 3E 83 00 </t>
  </si>
  <si>
    <t xml:space="preserve"> RX(8) 01 00 A5 3E 83 FB 8C 00 </t>
  </si>
  <si>
    <t xml:space="preserve">*RX(8) 02 00 98 89 C1 0A 3C 3B </t>
  </si>
  <si>
    <t xml:space="preserve"> RX(8) 02 00 00 88 D1 3E 83 00 </t>
  </si>
  <si>
    <t xml:space="preserve">*RX(8) 01 00 D1 3E 83 FB 8C 00 </t>
  </si>
  <si>
    <t xml:space="preserve"> RX(8) 02 00 97 89 C2 0A 94 3B </t>
  </si>
  <si>
    <t xml:space="preserve">*RX(8) 02 00 00 88 14 3F 83 00 </t>
  </si>
  <si>
    <t xml:space="preserve"> RX(8) 01 00 14 3F 83 FC 8C 00 </t>
  </si>
  <si>
    <t xml:space="preserve">*RX(8) 02 00 97 89 C2 0A 50 3B </t>
  </si>
  <si>
    <t xml:space="preserve"> RX(8) 01 00 7D 67 88 9E A1 00 </t>
  </si>
  <si>
    <t xml:space="preserve"> RX(8) 02 00 00 88 E5 3E 83 00 </t>
  </si>
  <si>
    <t xml:space="preserve">*RX(8) 01 00 E5 3E 83 FC 8C 00 </t>
  </si>
  <si>
    <t xml:space="preserve"> RX(8) 02 00 97 89 C3 0A 49 3B </t>
  </si>
  <si>
    <t xml:space="preserve">*RX(8) 01 00 68 68 88 A2 A1 00 </t>
  </si>
  <si>
    <t xml:space="preserve">*RX(8) 02 00 00 88 8E 3E 83 00 </t>
  </si>
  <si>
    <t xml:space="preserve"> RX(8) 01 00 8E 3E 83 FA 8C 00 </t>
  </si>
  <si>
    <t xml:space="preserve">*RX(8) 02 00 99 89 C0 0A 40 3B </t>
  </si>
  <si>
    <t xml:space="preserve"> RX(8) 01 00 2F 67 88 9D A1 00 </t>
  </si>
  <si>
    <t xml:space="preserve"> RX(8) 02 00 00 88 97 3E 83 00 </t>
  </si>
  <si>
    <t xml:space="preserve">*RX(8) 01 00 97 3E 83 FA 8C 00 </t>
  </si>
  <si>
    <t xml:space="preserve"> RX(8) 02 00 9B 89 BE 0A 72 3B </t>
  </si>
  <si>
    <t xml:space="preserve">*RX(8) 01 00 BE 64 88 93 A1 00 </t>
  </si>
  <si>
    <t xml:space="preserve">*RX(8) 02 00 00 88 B6 3E 83 00 </t>
  </si>
  <si>
    <t xml:space="preserve"> RX(8) 01 00 B6 3E 83 FB 8C 00 </t>
  </si>
  <si>
    <t xml:space="preserve">*RX(8) 02 00 9A 89 BF 0A C6 3B </t>
  </si>
  <si>
    <t xml:space="preserve"> RX(8) 01 00 0C 65 88 94 A1 00 </t>
  </si>
  <si>
    <t xml:space="preserve"> RX(8) 02 00 00 88 1D 3F 83 00 </t>
  </si>
  <si>
    <t xml:space="preserve">*RX(8) 01 00 1D 3F 83 FC 8C 00 </t>
  </si>
  <si>
    <t xml:space="preserve"> RX(8) 02 00 99 89 C0 0A E7 3B </t>
  </si>
  <si>
    <t xml:space="preserve">*RX(8) 01 00 45 66 88 99 A1 00 </t>
  </si>
  <si>
    <t xml:space="preserve">*RX(8) 02 00 97 89 C3 0A 93 3B </t>
  </si>
  <si>
    <t xml:space="preserve"> RX(8) 01 00 CB 67 88 9F A1 00 </t>
  </si>
  <si>
    <t xml:space="preserve"> RX(8) 02 00 00 88 28 3F 83 00 </t>
  </si>
  <si>
    <t xml:space="preserve">*RX(8) 01 00 28 3F 83 FD 8C 00 </t>
  </si>
  <si>
    <t xml:space="preserve"> RX(8) 02 00 97 89 C3 0A 7D 3B </t>
  </si>
  <si>
    <t xml:space="preserve">*RX(8) 02 00 00 88 12 3F 83 00 </t>
  </si>
  <si>
    <t xml:space="preserve"> RX(8) 01 00 12 3F 83 FC 8C 00 </t>
  </si>
  <si>
    <t xml:space="preserve">*RX(8) 02 00 98 89 C1 0A 53 3B </t>
  </si>
  <si>
    <t xml:space="preserve"> RX(8) 02 00 00 88 BF 3E 83 00 </t>
  </si>
  <si>
    <t xml:space="preserve">*RX(8) 01 00 BF 3E 83 FB 8C 00 </t>
  </si>
  <si>
    <t xml:space="preserve"> RX(8) 02 00 9A 89 BF 0A 48 3B </t>
  </si>
  <si>
    <t xml:space="preserve">*RX(8) 01 00 5A 65 88 95 A1 00 </t>
  </si>
  <si>
    <t xml:space="preserve">*RX(8) 02 00 00 88 8C 3E 83 00 </t>
  </si>
  <si>
    <t xml:space="preserve"> RX(8) 01 00 8C 3E 83 FA 8C 00 </t>
  </si>
  <si>
    <t xml:space="preserve">*RX(8) 02 00 9B 89 BE 0A AA 3B </t>
  </si>
  <si>
    <t xml:space="preserve"> RX(8) 02 00 00 88 8B 3E 83 00 </t>
  </si>
  <si>
    <t xml:space="preserve">*RX(8) 01 00 ED 3E 83 FC 8C 00 </t>
  </si>
  <si>
    <t xml:space="preserve"> RX(8) 02 00 9A 89 BF 0A 96 3B </t>
  </si>
  <si>
    <t xml:space="preserve">*RX(8) 02 00 00 88 02 3F 83 00 </t>
  </si>
  <si>
    <t xml:space="preserve"> RX(8) 01 00 02 3F 83 FC 8C 00 </t>
  </si>
  <si>
    <t xml:space="preserve">*RX(8) 02 00 99 89 C0 0A F4 3B </t>
  </si>
  <si>
    <t xml:space="preserve"> RX(8) 01 00 45 66 88 99 A1 00 </t>
  </si>
  <si>
    <t xml:space="preserve"> RX(8) 02 00 00 88 4B 3F 83 00 </t>
  </si>
  <si>
    <t xml:space="preserve">*RX(8) 01 00 4B 3F 83 FD 8C 00 </t>
  </si>
  <si>
    <t xml:space="preserve"> RX(8) 02 00 9A 89 BF 0A 4F 3B </t>
  </si>
  <si>
    <t xml:space="preserve">*RX(8) 02 00 00 88 BB 3E 83 00 </t>
  </si>
  <si>
    <t xml:space="preserve"> RX(8) 01 00 BB 3E 83 FB 8C 00 </t>
  </si>
  <si>
    <t xml:space="preserve"> RX(8) 02 00 98 89 C1 0A 05 0F </t>
  </si>
  <si>
    <t xml:space="preserve">*RX(8) 01 00 CB 67 88 9F A1 00 </t>
  </si>
  <si>
    <t xml:space="preserve">*RX(8) 02 00 A9 80 38 13 83 00 </t>
  </si>
  <si>
    <t xml:space="preserve"> RX(8) 01 00 38 13 83 4D 8C 00 </t>
  </si>
  <si>
    <t xml:space="preserve">*RX(8) 02 00 9A 89 BF 0A 73 0F </t>
  </si>
  <si>
    <t xml:space="preserve"> RX(8) 02 00 97 80 E7 12 83 00 </t>
  </si>
  <si>
    <t xml:space="preserve">*RX(8) 01 00 E7 12 83 4C 8C 00 </t>
  </si>
  <si>
    <t xml:space="preserve"> RX(8) 02 00 9B 89 BE 0A 61 0F </t>
  </si>
  <si>
    <t xml:space="preserve">*RX(8) 01 00 70 64 88 92 A1 00 </t>
  </si>
  <si>
    <t xml:space="preserve">*RX(8) 02 00 81 80 85 12 83 00 </t>
  </si>
  <si>
    <t xml:space="preserve"> RX(8) 01 00 85 12 83 4A 8C 00 </t>
  </si>
  <si>
    <t xml:space="preserve">*RX(8) 02 00 9C 89 BD 0A 51 0F </t>
  </si>
  <si>
    <t xml:space="preserve"> RX(8) 01 00 22 64 88 91 A1 00 </t>
  </si>
  <si>
    <t xml:space="preserve"> RX(8) 02 00 86 80 9B 12 83 00 </t>
  </si>
  <si>
    <t xml:space="preserve">*RX(8) 01 00 9B 12 83 4A 8C 00 </t>
  </si>
  <si>
    <t xml:space="preserve"> RX(8) 02 00 9C 89 BC 0A 05 0F </t>
  </si>
  <si>
    <t xml:space="preserve">*RX(8) 01 00 38 63 88 8D A1 00 </t>
  </si>
  <si>
    <t xml:space="preserve">*RX(8) 02 00 75 80 4F 12 83 00 </t>
  </si>
  <si>
    <t xml:space="preserve"> RX(8) 01 00 4F 12 83 49 8C 00 </t>
  </si>
  <si>
    <t xml:space="preserve">*RX(8) 02 00 9B 89 BE 0A 41 0E </t>
  </si>
  <si>
    <t xml:space="preserve"> RX(8) 01 00 86 63 88 8E A1 00 </t>
  </si>
  <si>
    <t xml:space="preserve"> RX(8) 02 00 4E 80 A1 11 83 00 </t>
  </si>
  <si>
    <t xml:space="preserve">*RX(8) 01 00 A1 11 83 47 8C 00 </t>
  </si>
  <si>
    <t xml:space="preserve"> RX(8) 02 00 9A 89 BF 0A 76 0F </t>
  </si>
  <si>
    <t xml:space="preserve">*RX(8) 01 00 0C 65 88 94 A1 00 </t>
  </si>
  <si>
    <t xml:space="preserve">*RX(8) 02 00 97 80 EA 12 83 00 </t>
  </si>
  <si>
    <t xml:space="preserve"> RX(8) 01 00 EA 12 83 4C 8C 00 </t>
  </si>
  <si>
    <t xml:space="preserve">*RX(8) 02 00 99 89 C0 0A BE 0F </t>
  </si>
  <si>
    <t xml:space="preserve"> RX(8) 01 00 F7 65 88 98 A1 00 </t>
  </si>
  <si>
    <t xml:space="preserve"> RX(8) 02 00 AC 80 47 13 83 00 </t>
  </si>
  <si>
    <t xml:space="preserve">*RX(8) 01 00 47 13 83 4D 8C 00 </t>
  </si>
  <si>
    <t xml:space="preserve"> RX(8) 02 00 99 89 C0 0A D2 0F </t>
  </si>
  <si>
    <t xml:space="preserve">*RX(8) 01 00 93 66 88 9A A1 00 </t>
  </si>
  <si>
    <t xml:space="preserve">*RX(8) 02 00 99 89 C0 0A 3E 0F </t>
  </si>
  <si>
    <t xml:space="preserve"> RX(8) 02 00 90 80 C7 12 83 00 </t>
  </si>
  <si>
    <t xml:space="preserve">*RX(8) 01 00 C7 12 83 4B 8C 00 </t>
  </si>
  <si>
    <t xml:space="preserve"> RX(8) 02 00 98 89 C1 0A C7 0F </t>
  </si>
  <si>
    <t xml:space="preserve">*RX(8) 01 00 E1 66 88 9C A1 00 </t>
  </si>
  <si>
    <t xml:space="preserve">*RX(8) 02 00 B7 80 7A 13 83 00 </t>
  </si>
  <si>
    <t xml:space="preserve"> RX(8) 01 00 7A 13 83 4E 8C 00 </t>
  </si>
  <si>
    <t xml:space="preserve">*RX(8) 02 00 97 89 C2 0A 88 0F </t>
  </si>
  <si>
    <t xml:space="preserve"> RX(8) 02 00 A9 80 3B 13 83 00 </t>
  </si>
  <si>
    <t xml:space="preserve">*RX(8) 01 00 3B 13 83 4D 8C 00 </t>
  </si>
  <si>
    <t xml:space="preserve"> RX(8) 02 00 96 89 C4 0A 27 0F </t>
  </si>
  <si>
    <t xml:space="preserve">*RX(8) 01 00 52 69 88 A5 A1 00 </t>
  </si>
  <si>
    <t xml:space="preserve">*RX(8) 02 00 9D 80 05 13 83 00 </t>
  </si>
  <si>
    <t xml:space="preserve"> RX(8) 01 00 05 13 83 4C 8C 00 </t>
  </si>
  <si>
    <t xml:space="preserve">*RX(8) 02 00 95 89 C5 0A D4 0E </t>
  </si>
  <si>
    <t xml:space="preserve"> RX(8) 02 00 90 80 C8 12 83 00 </t>
  </si>
  <si>
    <t xml:space="preserve">*RX(8) 01 00 C8 12 83 4B 8C 00 </t>
  </si>
  <si>
    <t xml:space="preserve"> RX(8) 02 00 95 89 C5 0A FE 0E </t>
  </si>
  <si>
    <t xml:space="preserve">*RX(8) 01 00 3C 6A 88 A9 A1 00 </t>
  </si>
  <si>
    <t xml:space="preserve">*RX(8) 02 00 8F 80 C6 12 83 00 </t>
  </si>
  <si>
    <t xml:space="preserve"> RX(8) 01 00 C6 12 83 4B 8C 00 </t>
  </si>
  <si>
    <t xml:space="preserve">*RX(8) 02 00 97 89 C3 0A 26 0F </t>
  </si>
  <si>
    <t xml:space="preserve"> RX(8) 01 00 68 68 88 A2 A1 00 </t>
  </si>
  <si>
    <t xml:space="preserve"> RX(8) 02 00 94 80 DA 12 83 00 </t>
  </si>
  <si>
    <t xml:space="preserve">*RX(8) 01 00 DA 12 83 4B 8C 00 </t>
  </si>
  <si>
    <t xml:space="preserve"> RX(8) 02 00 98 89 C1 0A B9 0F </t>
  </si>
  <si>
    <t xml:space="preserve">*RX(8) 01 00 2F 67 88 9D A1 00 </t>
  </si>
  <si>
    <t xml:space="preserve">*RX(8) 02 00 AF 80 57 13 83 00 </t>
  </si>
  <si>
    <t xml:space="preserve"> RX(8) 01 00 57 13 83 4D 8C 00 </t>
  </si>
  <si>
    <t xml:space="preserve">*RX(8) 02 00 99 89 C0 0A 05 0F </t>
  </si>
  <si>
    <t xml:space="preserve"> RX(8) 02 00 71 80 3D 12 83 00 </t>
  </si>
  <si>
    <t xml:space="preserve">*RX(8) 01 00 3D 12 83 49 8C 00 </t>
  </si>
  <si>
    <t xml:space="preserve"> RX(8) 02 00 99 89 C0 0A A7 0E </t>
  </si>
  <si>
    <t xml:space="preserve">*RX(8) 02 00 6E 80 30 12 83 00 </t>
  </si>
  <si>
    <t xml:space="preserve"> RX(8) 01 00 30 12 83 49 8C 00 </t>
  </si>
  <si>
    <t xml:space="preserve">*RX(8) 02 00 9A 89 BF 0A B0 0E </t>
  </si>
  <si>
    <t xml:space="preserve"> RX(8) 02 00 6C 80 24 12 83 00 </t>
  </si>
  <si>
    <t xml:space="preserve">*RX(8) 01 00 24 12 83 49 8C 00 </t>
  </si>
  <si>
    <t xml:space="preserve"> RX(8) 02 00 9A 89 BF 0A F9 0E </t>
  </si>
  <si>
    <t xml:space="preserve">*RX(8) 02 00 78 80 59 12 83 00 </t>
  </si>
  <si>
    <t xml:space="preserve">*RX(8) 02 00 9D 89 BB 0A 15 0F </t>
  </si>
  <si>
    <t xml:space="preserve"> RX(8) 01 00 D4 63 88 8F A1 00 </t>
  </si>
  <si>
    <t xml:space="preserve"> RX(8) 02 00 70 80 36 12 83 00 </t>
  </si>
  <si>
    <t xml:space="preserve">*RX(8) 01 00 36 12 83 49 8C 00 </t>
  </si>
  <si>
    <t xml:space="preserve"> RX(8) 02 00 9F 89 B9 0A E2 0E </t>
  </si>
  <si>
    <t xml:space="preserve">*RX(8) 01 00 B1 61 88 87 A1 00 </t>
  </si>
  <si>
    <t xml:space="preserve">*RX(8) 02 00 5B 80 D8 11 83 00 </t>
  </si>
  <si>
    <t xml:space="preserve"> RX(8) 01 00 D8 11 83 47 8C 00 </t>
  </si>
  <si>
    <t xml:space="preserve">*RX(8) 02 00 A0 89 B7 0A 12 0F </t>
  </si>
  <si>
    <t xml:space="preserve"> RX(8) 01 00 A4 5E 88 7B A1 00 </t>
  </si>
  <si>
    <t xml:space="preserve"> RX(8) 02 00 5C 80 DF 11 83 00 </t>
  </si>
  <si>
    <t xml:space="preserve">*RX(8) 01 00 DF 11 83 47 8C 00 </t>
  </si>
  <si>
    <t xml:space="preserve"> RX(8) 02 00 A2 89 B5 0A 82 0E </t>
  </si>
  <si>
    <t xml:space="preserve">*RX(8) 01 00 6B 5D 88 76 A1 00 </t>
  </si>
  <si>
    <t xml:space="preserve">*RX(8) 02 00 36 80 3A 11 83 00 </t>
  </si>
  <si>
    <t xml:space="preserve"> RX(8) 01 00 3A 11 83 45 8C 00 </t>
  </si>
  <si>
    <t xml:space="preserve">*RX(8) 02 00 A3 89 B4 0A A5 0E </t>
  </si>
  <si>
    <t xml:space="preserve"> RX(8) 01 00 1D 5D 88 74 A1 00 </t>
  </si>
  <si>
    <t xml:space="preserve"> RX(8) 02 00 4F 80 A3 11 83 00 </t>
  </si>
  <si>
    <t xml:space="preserve">*RX(8) 01 00 A3 11 83 47 8C 00 </t>
  </si>
  <si>
    <t xml:space="preserve"> RX(8) 02 00 A4 89 B3 0A 7D 0F </t>
  </si>
  <si>
    <t xml:space="preserve">*RX(8) 01 00 E5 5B 88 70 A1 00 </t>
  </si>
  <si>
    <t xml:space="preserve">*RX(8) 02 00 6B 80 1F 12 83 00 </t>
  </si>
  <si>
    <t xml:space="preserve"> RX(8) 01 00 1F 12 83 48 8C 00 </t>
  </si>
  <si>
    <t xml:space="preserve">*RX(8) 02 00 A4 89 B3 0A F4 0E </t>
  </si>
  <si>
    <t xml:space="preserve"> RX(8) 01 00 E5 5B 88 70 A1 00 </t>
  </si>
  <si>
    <t xml:space="preserve"> RX(8) 02 00 4C 80 96 11 83 00 </t>
  </si>
  <si>
    <t xml:space="preserve">*RX(8) 01 00 96 11 83 46 8C 00 </t>
  </si>
  <si>
    <t xml:space="preserve"> RX(8) 02 00 A3 89 B4 0A 83 0E </t>
  </si>
  <si>
    <t xml:space="preserve">*RX(8) 01 00 81 5C 88 72 A1 00 </t>
  </si>
  <si>
    <t xml:space="preserve">*RX(8) 02 00 37 80 3B 11 83 00 </t>
  </si>
  <si>
    <t xml:space="preserve"> RX(8) 01 00 3B 11 83 45 8C 00 </t>
  </si>
  <si>
    <t xml:space="preserve">*RX(8) 02 00 A3 89 B4 0A B2 0E </t>
  </si>
  <si>
    <t xml:space="preserve"> RX(8) 01 00 CF 5C 88 73 A1 00 </t>
  </si>
  <si>
    <t xml:space="preserve"> RX(8) 02 00 42 80 6A 11 83 00 </t>
  </si>
  <si>
    <t xml:space="preserve">*RX(8) 01 00 6A 11 83 46 8C 00 </t>
  </si>
  <si>
    <t>Maybe refit calibration curve too. Almost looks like it aged a bunch. Maybe it just gets less stable and more noisy with time when it runs?</t>
  </si>
  <si>
    <t>Probably going to have to start over from scratch. Get the zeroing done at the start and don't mess with it anymore.</t>
  </si>
  <si>
    <t>with lab air</t>
  </si>
  <si>
    <t xml:space="preserve"> RX(8) 02 00 65 89 FF 0A 40 0C </t>
  </si>
  <si>
    <t xml:space="preserve">*RX(8) 01 00 19 97 88 5C A2 00 </t>
  </si>
  <si>
    <t xml:space="preserve">*RX(8) 02 00 0E 80 9A 10 83 00 </t>
  </si>
  <si>
    <t xml:space="preserve"> RX(8) 01 00 0F 14 83 50 8C 00 </t>
  </si>
  <si>
    <t xml:space="preserve">*RX(8) 02 00 64 89 00 0B AB 0C </t>
  </si>
  <si>
    <t xml:space="preserve"> RX(8) 01 00 51 98 88 61 A2 00 </t>
  </si>
  <si>
    <t xml:space="preserve"> RX(8) 02 00 10 80 A2 10 83 00 </t>
  </si>
  <si>
    <t xml:space="preserve">*RX(8) 01 00 17 14 83 50 8C 00 </t>
  </si>
  <si>
    <t xml:space="preserve"> RX(8) 02 00 64 89 00 0B 0E 0C </t>
  </si>
  <si>
    <t xml:space="preserve">*RX(8) 01 00 EE 98 88 64 A2 00 </t>
  </si>
  <si>
    <t xml:space="preserve">*RX(8) 02 00 00 80 68 10 83 00 </t>
  </si>
  <si>
    <t xml:space="preserve"> RX(8) 01 00 DD 13 83 4F 8C 00 </t>
  </si>
  <si>
    <t xml:space="preserve">*RX(8) 02 00 66 89 FE 0A 28 0D </t>
  </si>
  <si>
    <t xml:space="preserve"> RX(8) 01 00 CB 96 88 5B A2 00 </t>
  </si>
  <si>
    <t xml:space="preserve"> RX(8) 02 00 42 80 6B 11 83 00 </t>
  </si>
  <si>
    <t xml:space="preserve">*RX(8) 01 00 E0 14 83 54 8C 00 </t>
  </si>
  <si>
    <t xml:space="preserve"> RX(8) 02 00 66 89 FE 0A 76 0C </t>
  </si>
  <si>
    <t xml:space="preserve">*RX(8) 01 00 7D 96 88 5A A2 00 </t>
  </si>
  <si>
    <t xml:space="preserve">*RX(8) 02 00 0E 80 9B 10 83 00 </t>
  </si>
  <si>
    <t xml:space="preserve"> RX(8) 01 00 10 14 83 50 8C 00 </t>
  </si>
  <si>
    <t xml:space="preserve">*RX(8) 02 00 67 89 FD 0A 27 0C </t>
  </si>
  <si>
    <t xml:space="preserve"> RX(8) 01 00 E0 95 88 58 A2 00 </t>
  </si>
  <si>
    <t xml:space="preserve"> RX(8) 02 00 00 80 57 10 83 00 </t>
  </si>
  <si>
    <t xml:space="preserve">*RX(8) 01 00 CC 13 83 4F 8C 00 </t>
  </si>
  <si>
    <t xml:space="preserve"> RX(8) 02 00 67 89 FD 0A 58 0C </t>
  </si>
  <si>
    <t xml:space="preserve">*RX(8) 01 00 E0 95 88 58 A2 00 </t>
  </si>
  <si>
    <t xml:space="preserve">*RX(8) 02 00 09 80 88 10 83 00 </t>
  </si>
  <si>
    <t xml:space="preserve"> RX(8) 01 00 FD 13 83 50 8C 00 </t>
  </si>
  <si>
    <t xml:space="preserve">*RX(8) 02 00 69 89 FA 0A FF 0C </t>
  </si>
  <si>
    <t xml:space="preserve"> RX(8) 01 00 0C 94 88 50 A2 00 </t>
  </si>
  <si>
    <t xml:space="preserve"> RX(8) 02 00 1F 80 DB 10 83 00 </t>
  </si>
  <si>
    <t xml:space="preserve">*RX(8) 01 00 50 14 83 51 8C 00 </t>
  </si>
  <si>
    <t xml:space="preserve"> RX(8) 02 00 6C 89 F7 0A 01 0D </t>
  </si>
  <si>
    <t xml:space="preserve">*RX(8) 01 00 9B 91 88 46 A2 00 </t>
  </si>
  <si>
    <t xml:space="preserve">*RX(8) 02 00 1A 80 C7 10 83 00 </t>
  </si>
  <si>
    <t xml:space="preserve"> RX(8) 01 00 3C 14 83 51 8C 00 </t>
  </si>
  <si>
    <t xml:space="preserve">*RX(8) 02 00 6C 89 F7 0A A2 0C </t>
  </si>
  <si>
    <t xml:space="preserve"> RX(8) 01 00 FE 90 88 44 A2 00 </t>
  </si>
  <si>
    <t xml:space="preserve"> RX(8) 02 00 06 80 81 10 83 00 </t>
  </si>
  <si>
    <t xml:space="preserve">*RX(8) 01 00 DE 13 83 4F 8C 00 </t>
  </si>
  <si>
    <t xml:space="preserve"> RX(8) 02 00 6C 89 F6 0A FA 0B </t>
  </si>
  <si>
    <t xml:space="preserve">*RX(8) 01 00 C6 8F 88 3F A2 00 </t>
  </si>
  <si>
    <t xml:space="preserve">*RX(8) 02 00 00 80 C2 0F 83 00 </t>
  </si>
  <si>
    <t xml:space="preserve"> RX(8) 01 00 37 13 83 4D 8C 00 </t>
  </si>
  <si>
    <t xml:space="preserve">*RX(8) 02 00 6B 89 F8 0A EF 0D </t>
  </si>
  <si>
    <t xml:space="preserve"> RX(8) 01 00 37 92 88 49 A2 00 </t>
  </si>
  <si>
    <t xml:space="preserve"> RX(8) 02 00 58 80 C9 11 83 00 </t>
  </si>
  <si>
    <t xml:space="preserve">*RX(8) 01 00 3E 15 83 55 8C 00 </t>
  </si>
  <si>
    <t xml:space="preserve"> RX(8) 02 00 6A 89 F9 0A 2A 0D </t>
  </si>
  <si>
    <t xml:space="preserve">*RX(8) 01 00 85 92 88 4A A2 00 </t>
  </si>
  <si>
    <t xml:space="preserve">*RX(8) 02 00 2A 80 05 11 83 00 </t>
  </si>
  <si>
    <t xml:space="preserve"> RX(8) 01 00 7A 14 83 52 8C 00 </t>
  </si>
  <si>
    <t xml:space="preserve">*RX(8) 02 00 6C 89 F7 0A 5B 0D </t>
  </si>
  <si>
    <t xml:space="preserve"> RX(8) 01 00 4C 91 88 45 A2 00 </t>
  </si>
  <si>
    <t xml:space="preserve"> RX(8) 02 00 30 80 21 11 83 00 </t>
  </si>
  <si>
    <t xml:space="preserve">*RX(8) 01 00 96 14 83 52 8C 00 </t>
  </si>
  <si>
    <t xml:space="preserve"> RX(8) 02 00 6C 89 F6 0A 28 0D </t>
  </si>
  <si>
    <t xml:space="preserve">*RX(8) 01 00 14 90 88 40 A2 00 </t>
  </si>
  <si>
    <t xml:space="preserve">*RX(8) 02 00 1F 80 DA 10 83 00 </t>
  </si>
  <si>
    <t xml:space="preserve"> RX(8) 01 00 4F 14 83 51 8C 00 </t>
  </si>
  <si>
    <t xml:space="preserve">*RX(8) 02 00 6D 89 F5 0A 3D 0D </t>
  </si>
  <si>
    <t xml:space="preserve"> RX(8) 01 00 C6 8F 88 3F A2 00 </t>
  </si>
  <si>
    <t xml:space="preserve"> RX(8) 02 00 29 80 03 11 83 00 </t>
  </si>
  <si>
    <t xml:space="preserve">*RX(8) 01 00 78 14 83 52 8C 00 </t>
  </si>
  <si>
    <t xml:space="preserve"> RX(8) 02 00 6C 89 F6 0A DE 0C </t>
  </si>
  <si>
    <t xml:space="preserve">*RX(8) 02 00 12 80 A8 10 83 00 </t>
  </si>
  <si>
    <t xml:space="preserve"> RX(8) 01 00 1D 14 83 50 8C 00 </t>
  </si>
  <si>
    <t xml:space="preserve">*RX(8) 02 00 6D 89 F5 0A 1B 0D </t>
  </si>
  <si>
    <t xml:space="preserve"> RX(8) 02 00 1C 80 CD 10 83 00 </t>
  </si>
  <si>
    <t xml:space="preserve">*RX(8) 01 00 42 14 83 51 8C 00 </t>
  </si>
  <si>
    <t xml:space="preserve"> RX(8) 02 00 6C 89 F7 0A F9 0C </t>
  </si>
  <si>
    <t xml:space="preserve">*RX(8) 01 00 B0 90 88 43 A2 00 </t>
  </si>
  <si>
    <t xml:space="preserve">*RX(8) 02 00 18 80 BF 10 83 00 </t>
  </si>
  <si>
    <t xml:space="preserve"> RX(8) 01 00 34 14 83 51 8C 00 </t>
  </si>
  <si>
    <t xml:space="preserve">*RX(8) 02 00 6C 89 F7 0A B2 0C </t>
  </si>
  <si>
    <t xml:space="preserve"> RX(8) 01 00 9B 91 88 46 A2 00 </t>
  </si>
  <si>
    <t xml:space="preserve"> RX(8) 02 00 0A 80 8E 10 83 00 </t>
  </si>
  <si>
    <t xml:space="preserve">*RX(8) 01 00 03 14 83 50 8C 00 </t>
  </si>
  <si>
    <t xml:space="preserve"> RX(8) 02 00 6A 89 F9 0A 79 0C </t>
  </si>
  <si>
    <t xml:space="preserve">*RX(8) 02 00 00 80 5C 10 83 00 </t>
  </si>
  <si>
    <t xml:space="preserve"> RX(8) 01 00 D1 13 83 4F 8C 00 </t>
  </si>
  <si>
    <t xml:space="preserve">*RX(8) 02 00 69 89 FA 0A 0E 0B </t>
  </si>
  <si>
    <t xml:space="preserve"> RX(8) 02 00 00 80 01 0F 83 00 </t>
  </si>
  <si>
    <t xml:space="preserve">*RX(8) 01 00 76 12 83 4A 8C 00 </t>
  </si>
  <si>
    <t xml:space="preserve"> RX(8) 02 00 6A 89 F9 0A 92 09 </t>
  </si>
  <si>
    <t xml:space="preserve">*RX(8) 01 00 D3 92 88 4B A2 00 </t>
  </si>
  <si>
    <t xml:space="preserve">*RX(8) 02 00 00 80 87 0D 83 00 </t>
  </si>
  <si>
    <t xml:space="preserve"> RX(8) 01 00 FC 10 83 44 8C 00 </t>
  </si>
  <si>
    <t xml:space="preserve">*RX(8) 02 00 6B 89 F8 0A 06 08 </t>
  </si>
  <si>
    <t xml:space="preserve"> RX(8) 02 00 00 80 D2 0B 83 00 </t>
  </si>
  <si>
    <t xml:space="preserve">*RX(8) 01 00 48 0F 83 3D 8C 00 </t>
  </si>
  <si>
    <t xml:space="preserve"> RX(8) 02 00 6C 89 F7 0A AA 0C </t>
  </si>
  <si>
    <t xml:space="preserve">*RX(8) 02 00 00 80 71 10 83 00 </t>
  </si>
  <si>
    <t xml:space="preserve"> RX(8) 01 00 E6 13 83 50 8C 00 </t>
  </si>
  <si>
    <t xml:space="preserve">*RX(8) 02 00 6F 89 F3 0A 57 0E </t>
  </si>
  <si>
    <t xml:space="preserve"> RX(8) 01 00 2A 8F 88 3D A2 00 </t>
  </si>
  <si>
    <t xml:space="preserve"> RX(8) 02 00 61 80 F2 11 83 00 </t>
  </si>
  <si>
    <t xml:space="preserve">*RX(8) 01 00 67 15 83 56 8C 00 </t>
  </si>
  <si>
    <t xml:space="preserve"> RX(8) 02 00 6E 89 F4 0A 84 0D </t>
  </si>
  <si>
    <t xml:space="preserve">*RX(8) 02 00 30 80 20 11 83 00 </t>
  </si>
  <si>
    <t xml:space="preserve"> RX(8) 01 00 95 14 83 52 8C 00 </t>
  </si>
  <si>
    <t xml:space="preserve">*RX(8) 02 00 6F 89 F3 0A F7 0D </t>
  </si>
  <si>
    <t xml:space="preserve"> RX(8) 02 00 41 80 68 11 83 00 </t>
  </si>
  <si>
    <t xml:space="preserve">*RX(8) 01 00 DD 14 83 53 8C 00 </t>
  </si>
  <si>
    <t xml:space="preserve"> RX(8) 02 00 71 89 F1 0A 01 0D </t>
  </si>
  <si>
    <t xml:space="preserve">*RX(8) 02 00 00 80 5D 10 83 00 </t>
  </si>
  <si>
    <t xml:space="preserve"> RX(8) 01 00 D2 13 83 4F 8C 00 </t>
  </si>
  <si>
    <t xml:space="preserve">*RX(8) 02 00 6C 89 F6 0A 1E 0C </t>
  </si>
  <si>
    <t xml:space="preserve"> RX(8) 01 00 14 90 88 40 A2 00 </t>
  </si>
  <si>
    <t xml:space="preserve"> RX(8) 02 00 00 80 BC 0F 83 00 </t>
  </si>
  <si>
    <t xml:space="preserve">*RX(8) 01 00 31 13 83 4D 8C 00 </t>
  </si>
  <si>
    <t xml:space="preserve"> RX(8) 02 00 71 89 F1 0A 16 0C </t>
  </si>
  <si>
    <t xml:space="preserve">*RX(8) 02 00 00 80 5F 0F 83 00 </t>
  </si>
  <si>
    <t xml:space="preserve"> RX(8) 01 00 D4 12 83 4B 8C 00 </t>
  </si>
  <si>
    <t xml:space="preserve">*RX(8) 02 00 74 89 ED 0A 8B 0C </t>
  </si>
  <si>
    <t xml:space="preserve"> RX(8) 02 00 00 80 95 0F 83 00 </t>
  </si>
  <si>
    <t xml:space="preserve">*RX(8) 01 00 0A 13 83 4C 8C 00 </t>
  </si>
  <si>
    <t xml:space="preserve"> RX(8) 02 00 75 89 EB 0A EF 0B </t>
  </si>
  <si>
    <t xml:space="preserve">*RX(8) 02 00 00 80 C7 0E 83 00 </t>
  </si>
  <si>
    <t xml:space="preserve"> RX(8) 01 00 3C 12 83 49 8C 00 </t>
  </si>
  <si>
    <t xml:space="preserve">*RX(8) 02 00 75 89 EC 0A FD 0C </t>
  </si>
  <si>
    <t xml:space="preserve"> RX(8) 01 00 C1 88 88 23 A2 00 </t>
  </si>
  <si>
    <t xml:space="preserve"> RX(8) 02 00 00 80 1B 10 83 00 </t>
  </si>
  <si>
    <t xml:space="preserve">*RX(8) 01 00 90 13 83 4E 8C 00 </t>
  </si>
  <si>
    <t xml:space="preserve"> RX(8) 02 00 73 89 EE 0A 58 0C </t>
  </si>
  <si>
    <t xml:space="preserve">*RX(8) 01 00 F9 89 88 28 A2 00 </t>
  </si>
  <si>
    <t xml:space="preserve">*RX(8) 02 00 00 80 8C 0F 83 00 </t>
  </si>
  <si>
    <t xml:space="preserve"> RX(8) 01 00 01 13 83 4C 8C 00 </t>
  </si>
  <si>
    <t xml:space="preserve">*RX(8) 02 00 73 89 EE 0A E2 0B </t>
  </si>
  <si>
    <t xml:space="preserve"> RX(8) 01 00 F9 89 88 28 A2 00 </t>
  </si>
  <si>
    <t xml:space="preserve"> RX(8) 02 00 00 80 2B 0F 83 00 </t>
  </si>
  <si>
    <t xml:space="preserve">*RX(8) 01 00 A0 12 83 4B 8C 00 </t>
  </si>
  <si>
    <t xml:space="preserve"> RX(8) 02 00 71 89 F0 0A 71 0B </t>
  </si>
  <si>
    <t xml:space="preserve">*RX(8) 01 00 80 8B 88 2E A2 00 </t>
  </si>
  <si>
    <t xml:space="preserve">*RX(8) 02 00 00 80 CF 0E 83 00 </t>
  </si>
  <si>
    <t xml:space="preserve"> RX(8) 01 00 44 12 83 49 8C 00 </t>
  </si>
  <si>
    <t xml:space="preserve">*RX(8) 02 00 71 89 F1 0A AD 0B </t>
  </si>
  <si>
    <t xml:space="preserve"> RX(8) 01 00 B9 8C 88 33 A2 00 </t>
  </si>
  <si>
    <t xml:space="preserve"> RX(8) 02 00 00 80 BF 0F 83 00 </t>
  </si>
  <si>
    <t xml:space="preserve">*RX(8) 01 00 34 13 83 4D 8C 00 </t>
  </si>
  <si>
    <t xml:space="preserve"> RX(8) 02 00 70 89 F2 0A DD 0B </t>
  </si>
  <si>
    <t xml:space="preserve">*RX(8) 01 00 55 8D 88 35 A2 00 </t>
  </si>
  <si>
    <t xml:space="preserve">*RX(8) 02 00 00 80 65 0F 83 00 </t>
  </si>
  <si>
    <t xml:space="preserve"> RX(8) 01 00 DA 12 83 4B 8C 00 </t>
  </si>
  <si>
    <t xml:space="preserve">*RX(8) 02 00 6E 89 F4 0A 0F 0C </t>
  </si>
  <si>
    <t xml:space="preserve"> RX(8) 01 00 8D 8E 88 3A A2 00 </t>
  </si>
  <si>
    <t xml:space="preserve"> RX(8) 02 00 00 80 C2 0F 83 00 </t>
  </si>
  <si>
    <t xml:space="preserve">*RX(8) 01 00 37 13 83 4D 8C 00 </t>
  </si>
  <si>
    <t xml:space="preserve"> RX(8) 02 00 6C 89 F6 0A 11 0C </t>
  </si>
  <si>
    <t xml:space="preserve">*RX(8) 02 00 00 80 D9 0F 83 00 </t>
  </si>
  <si>
    <t xml:space="preserve"> RX(8) 01 00 4E 13 83 4D 8C 00 </t>
  </si>
  <si>
    <t xml:space="preserve">*RX(8) 02 00 6C 89 F7 0A 38 0C </t>
  </si>
  <si>
    <t xml:space="preserve"> RX(8) 02 00 00 80 15 10 83 00 </t>
  </si>
  <si>
    <t xml:space="preserve">*RX(8) 01 00 8A 13 83 4E 8C 00 </t>
  </si>
  <si>
    <t xml:space="preserve"> RX(8) 02 00 69 89 FA 0A D2 0C </t>
  </si>
  <si>
    <t xml:space="preserve">*RX(8) 01 00 21 93 88 4D A2 00 </t>
  </si>
  <si>
    <t xml:space="preserve">*RX(8) 02 00 24 80 EC 10 83 00 </t>
  </si>
  <si>
    <t xml:space="preserve"> RX(8) 01 00 61 14 83 52 8C 00 </t>
  </si>
  <si>
    <t xml:space="preserve">*RX(8) 02 00 67 89 FC 0A F4 0C </t>
  </si>
  <si>
    <t xml:space="preserve"> RX(8) 01 00 F6 94 88 54 A2 00 </t>
  </si>
  <si>
    <t xml:space="preserve"> RX(8) 02 00 2B 80 0C 11 83 00 </t>
  </si>
  <si>
    <t xml:space="preserve">*RX(8) 01 00 81 14 83 52 8C 00 </t>
  </si>
  <si>
    <t xml:space="preserve"> RX(8) 02 00 65 89 FF 0A F6 0C </t>
  </si>
  <si>
    <t xml:space="preserve">*RX(8) 02 00 40 80 63 11 83 00 </t>
  </si>
  <si>
    <t xml:space="preserve"> RX(8) 01 00 D8 14 83 53 8C 00 </t>
  </si>
  <si>
    <t xml:space="preserve">*RX(8) 02 00 63 89 01 0B 90 0C </t>
  </si>
  <si>
    <t xml:space="preserve"> RX(8) 01 00 3C 99 88 65 A2 00 </t>
  </si>
  <si>
    <t xml:space="preserve"> RX(8) 02 00 32 80 28 11 83 00 </t>
  </si>
  <si>
    <t xml:space="preserve">*RX(8) 01 00 9D 14 83 52 8C 00 </t>
  </si>
  <si>
    <t xml:space="preserve"> RX(8) 02 00 62 89 02 0B 06 0C </t>
  </si>
  <si>
    <t xml:space="preserve">*RX(8) 01 00 D8 99 88 67 A2 00 </t>
  </si>
  <si>
    <t xml:space="preserve">*RX(8) 02 00 0F 80 9E 10 83 00 </t>
  </si>
  <si>
    <t xml:space="preserve"> RX(8) 01 00 13 14 83 50 8C 00 </t>
  </si>
  <si>
    <t xml:space="preserve">*RX(8) 02 00 61 89 04 0B 2F 0C </t>
  </si>
  <si>
    <t xml:space="preserve"> RX(8) 02 00 20 80 DD 10 83 00 </t>
  </si>
  <si>
    <t xml:space="preserve">*RX(8) 01 00 52 14 83 51 8C 00 </t>
  </si>
  <si>
    <t xml:space="preserve"> RX(8) 02 00 61 89 04 0B 26 0D </t>
  </si>
  <si>
    <t xml:space="preserve">*RX(8) 01 00 10 9B 88 6C A2 00 </t>
  </si>
  <si>
    <t xml:space="preserve">*RX(8) 02 00 5A 80 D2 11 83 00 </t>
  </si>
  <si>
    <t xml:space="preserve"> RX(8) 01 00 47 15 83 55 8C 00 </t>
  </si>
  <si>
    <t xml:space="preserve">*RX(8) 02 00 61 89 04 0B 6B 0D </t>
  </si>
  <si>
    <t xml:space="preserve"> RX(8) 01 00 5F 9B 88 6D A2 00 </t>
  </si>
  <si>
    <t xml:space="preserve"> RX(8) 02 00 6D 80 2B 12 83 00 </t>
  </si>
  <si>
    <t xml:space="preserve">*RX(8) 01 00 A0 15 83 57 8C 00 </t>
  </si>
  <si>
    <t xml:space="preserve"> RX(8) 02 00 60 89 05 0B 39 0C </t>
  </si>
  <si>
    <t xml:space="preserve">*RX(8) 01 00 FB 9B 88 70 A2 00 </t>
  </si>
  <si>
    <t xml:space="preserve">*RX(8) 02 00 2C 80 10 11 83 00 </t>
  </si>
  <si>
    <t xml:space="preserve"> RX(8) 01 00 85 14 83 52 8C 00 </t>
  </si>
  <si>
    <t xml:space="preserve">*RX(8) 02 00 5E 89 07 0B 37 0C </t>
  </si>
  <si>
    <t xml:space="preserve"> RX(8) 01 00 E5 9C 88 74 A2 00 </t>
  </si>
  <si>
    <t xml:space="preserve"> RX(8) 02 00 3B 80 4D 11 83 00 </t>
  </si>
  <si>
    <t xml:space="preserve">*RX(8) 01 00 C2 14 83 53 8C 00 </t>
  </si>
  <si>
    <t xml:space="preserve"> RX(8) 02 00 5E 89 07 0B 0B 0C </t>
  </si>
  <si>
    <t xml:space="preserve">*RX(8) 01 00 81 9D 88 76 A2 00 </t>
  </si>
  <si>
    <t xml:space="preserve">*RX(8) 02 00 21 80 E3 10 83 00 </t>
  </si>
  <si>
    <t xml:space="preserve"> RX(8) 01 00 58 14 83 51 8C 00 </t>
  </si>
  <si>
    <t xml:space="preserve">*RX(8) 02 00 60 89 05 0B 42 0C </t>
  </si>
  <si>
    <t xml:space="preserve"> RX(8) 01 00 49 9C 88 71 A2 00 </t>
  </si>
  <si>
    <t xml:space="preserve"> RX(8) 02 00 29 80 04 11 83 00 </t>
  </si>
  <si>
    <t xml:space="preserve">*RX(8) 01 00 79 14 83 52 8C 00 </t>
  </si>
  <si>
    <t xml:space="preserve"> RX(8) 02 00 60 89 05 0B 50 0C </t>
  </si>
  <si>
    <t xml:space="preserve">*RX(8) 01 00 AD 9B 88 6F A2 00 </t>
  </si>
  <si>
    <t xml:space="preserve">*RX(8) 02 00 23 80 E8 10 83 00 </t>
  </si>
  <si>
    <t xml:space="preserve"> RX(8) 01 00 5D 14 83 51 8C 00 </t>
  </si>
  <si>
    <t xml:space="preserve">*RX(8) 02 00 62 89 03 0B F4 0B </t>
  </si>
  <si>
    <t xml:space="preserve"> RX(8) 01 00 26 9A 88 69 A2 00 </t>
  </si>
  <si>
    <t xml:space="preserve"> RX(8) 02 00 01 80 78 10 83 00 </t>
  </si>
  <si>
    <t xml:space="preserve">*RX(8) 01 00 ED 13 83 50 8C 00 </t>
  </si>
  <si>
    <t xml:space="preserve"> RX(8) 02 00 64 89 00 0B 6F 0C </t>
  </si>
  <si>
    <t xml:space="preserve">*RX(8) 01 00 51 98 88 61 A2 00 </t>
  </si>
  <si>
    <t xml:space="preserve">*RX(8) 02 00 00 80 63 10 83 00 </t>
  </si>
  <si>
    <t xml:space="preserve"> RX(8) 01 00 D8 13 83 4F 8C 00 </t>
  </si>
  <si>
    <t xml:space="preserve">*RX(8) 02 00 64 89 00 0B EB 0B </t>
  </si>
  <si>
    <t xml:space="preserve"> RX(8) 02 00 00 80 45 10 83 00 </t>
  </si>
  <si>
    <t xml:space="preserve">*RX(8) 01 00 BA 13 83 4F 8C 00 </t>
  </si>
  <si>
    <t xml:space="preserve"> RX(8) 02 00 66 89 FE 0A 91 0B </t>
  </si>
  <si>
    <t xml:space="preserve"> RX(8) 02 00 71 89 F0 0A 3A 14 </t>
  </si>
  <si>
    <t xml:space="preserve">*RX(8) 01 00 CE 8B 88 2F A2 00 </t>
  </si>
  <si>
    <t xml:space="preserve">*RX(8) 02 00 8D 81 8E 17 83 00 </t>
  </si>
  <si>
    <t xml:space="preserve"> RX(8) 01 00 02 1B 83 6C 8C 00 </t>
  </si>
  <si>
    <t xml:space="preserve">*RX(8) 02 00 71 89 F1 0A AB 13 </t>
  </si>
  <si>
    <t xml:space="preserve"> RX(8) 02 00 98 81 CA 17 83 00 </t>
  </si>
  <si>
    <t xml:space="preserve">*RX(8) 01 00 3E 1B 83 6D 8C 00 </t>
  </si>
  <si>
    <t xml:space="preserve"> RX(8) 02 00 6F 89 F3 0A B8 15 </t>
  </si>
  <si>
    <t xml:space="preserve">*RX(8) 02 00 E2 81 4A 19 83 00 </t>
  </si>
  <si>
    <t xml:space="preserve"> RX(8) 01 00 BE 1C 83 73 8C 00 </t>
  </si>
  <si>
    <t xml:space="preserve">*RX(8) 02 00 6D 89 F5 0A 3D 15 </t>
  </si>
  <si>
    <t xml:space="preserve"> RX(8) 02 00 DC 81 2A 19 83 00 </t>
  </si>
  <si>
    <t xml:space="preserve">*RX(8) 01 00 9E 1C 83 72 8C 00 </t>
  </si>
  <si>
    <t xml:space="preserve"> RX(8) 02 00 68 89 FB 0A C8 15 </t>
  </si>
  <si>
    <t xml:space="preserve">*RX(8) 02 00 02 82 ED 19 83 00 </t>
  </si>
  <si>
    <t xml:space="preserve"> RX(8) 01 00 60 1D 83 76 8C 00 </t>
  </si>
  <si>
    <t xml:space="preserve">*RX(8) 02 00 67 89 FC 0A B0 12 </t>
  </si>
  <si>
    <t xml:space="preserve"> RX(8) 02 00 69 81 D8 16 83 00 </t>
  </si>
  <si>
    <t xml:space="preserve">*RX(8) 01 00 4C 1A 83 69 8C 00 </t>
  </si>
  <si>
    <t xml:space="preserve"> RX(8) 02 00 68 89 FB 0A 10 15 </t>
  </si>
  <si>
    <t xml:space="preserve">*RX(8) 01 00 A8 94 88 53 A2 00 </t>
  </si>
  <si>
    <t xml:space="preserve">*RX(8) 02 00 E8 81 67 19 83 00 </t>
  </si>
  <si>
    <t xml:space="preserve"> RX(8) 01 00 DB 1C 83 73 8C 00 </t>
  </si>
  <si>
    <t xml:space="preserve">*RX(8) 02 00 69 89 FA 0A AD 14 </t>
  </si>
  <si>
    <t xml:space="preserve"> RX(8) 01 00 21 93 88 4D A2 00 </t>
  </si>
  <si>
    <t xml:space="preserve"> RX(8) 02 00 BC 81 7F 18 83 00 </t>
  </si>
  <si>
    <t xml:space="preserve">*RX(8) 01 00 F3 1B 83 70 8C 00 </t>
  </si>
  <si>
    <t xml:space="preserve"> RX(8) 02 00 6C 89 F7 0A 7D 15 </t>
  </si>
  <si>
    <t xml:space="preserve">*RX(8) 02 00 E3 81 4E 19 83 00 </t>
  </si>
  <si>
    <t xml:space="preserve"> RX(8) 01 00 C2 1C 83 73 8C 00 </t>
  </si>
  <si>
    <t xml:space="preserve">*RX(8) 02 00 6A 89 F9 0A 83 14 </t>
  </si>
  <si>
    <t xml:space="preserve"> RX(8) 02 00 B7 81 6A 18 83 00 </t>
  </si>
  <si>
    <t xml:space="preserve">*RX(8) 01 00 DE 1B 83 6F 8C 00 </t>
  </si>
  <si>
    <t xml:space="preserve"> RX(8) 02 00 6C 89 F7 0A 72 14 </t>
  </si>
  <si>
    <t xml:space="preserve">*RX(8) 01 00 4C 91 88 45 A2 00 </t>
  </si>
  <si>
    <t xml:space="preserve">*RX(8) 02 00 AC 81 2F 18 83 00 </t>
  </si>
  <si>
    <t xml:space="preserve"> RX(8) 01 00 A3 1B 83 6F 8C 00 </t>
  </si>
  <si>
    <t xml:space="preserve">*RX(8) 02 00 6D 89 F5 0A D0 14 </t>
  </si>
  <si>
    <t xml:space="preserve"> RX(8) 02 00 B6 81 63 18 83 00 </t>
  </si>
  <si>
    <t xml:space="preserve">*RX(8) 01 00 D7 1B 83 6F 8C 00 </t>
  </si>
  <si>
    <t xml:space="preserve"> RX(8) 02 00 6F 89 F3 0A C5 15 </t>
  </si>
  <si>
    <t xml:space="preserve">*RX(8) 02 00 E5 81 57 19 83 00 </t>
  </si>
  <si>
    <t xml:space="preserve"> RX(8) 01 00 CB 1C 83 73 8C 00 </t>
  </si>
  <si>
    <t xml:space="preserve">*RX(8) 02 00 6D 89 F5 0A A9 15 </t>
  </si>
  <si>
    <t xml:space="preserve"> RX(8) 01 00 78 8F 88 3E A2 00 </t>
  </si>
  <si>
    <t xml:space="preserve"> RX(8) 02 00 E8 81 65 19 83 00 </t>
  </si>
  <si>
    <t xml:space="preserve">*RX(8) 01 00 D9 1C 83 73 8C 00 </t>
  </si>
  <si>
    <t xml:space="preserve"> RX(8) 02 00 6C 89 F7 0A BA 15 </t>
  </si>
  <si>
    <t xml:space="preserve">*RX(8) 01 00 FE 90 88 44 A2 00 </t>
  </si>
  <si>
    <t xml:space="preserve">*RX(8) 02 00 EB 81 75 19 83 00 </t>
  </si>
  <si>
    <t xml:space="preserve"> RX(8) 01 00 E9 1C 83 74 8C 00 </t>
  </si>
  <si>
    <t xml:space="preserve">*RX(8) 02 00 6B 89 F8 0A 0D 16 </t>
  </si>
  <si>
    <t xml:space="preserve"> RX(8) 02 00 FF 81 DE 19 83 00 </t>
  </si>
  <si>
    <t xml:space="preserve">*RX(8) 01 00 51 1D 83 75 8C 00 </t>
  </si>
  <si>
    <t xml:space="preserve"> RX(8) 02 00 6B 89 F8 0A 4C 14 </t>
  </si>
  <si>
    <t xml:space="preserve">*RX(8) 02 00 A9 81 1F 18 83 00 </t>
  </si>
  <si>
    <t xml:space="preserve"> RX(8) 01 00 93 1B 83 6E 8C 00 </t>
  </si>
  <si>
    <t xml:space="preserve">*RX(8) 02 00 6B 89 F8 0A 32 14 </t>
  </si>
  <si>
    <t xml:space="preserve"> RX(8) 02 00 A0 81 F0 17 83 00 </t>
  </si>
  <si>
    <t xml:space="preserve">*RX(8) 01 00 64 1B 83 6E 8C 00 </t>
  </si>
  <si>
    <t xml:space="preserve"> RX(8) 02 00 6B 89 F8 0A FC 14 </t>
  </si>
  <si>
    <t xml:space="preserve">*RX(8) 02 00 CB 81 CD 18 83 00 </t>
  </si>
  <si>
    <t xml:space="preserve"> RX(8) 01 00 42 1C 83 71 8C 00 </t>
  </si>
  <si>
    <t xml:space="preserve">*RX(8) 02 00 69 89 FA 0A 91 15 </t>
  </si>
  <si>
    <t xml:space="preserve"> RX(8) 02 00 F3 81 A1 19 83 00 </t>
  </si>
  <si>
    <t xml:space="preserve">*RX(8) 01 00 14 1D 83 74 8C 00 </t>
  </si>
  <si>
    <t xml:space="preserve"> RX(8) 02 00 68 89 FB 0A A0 16 </t>
  </si>
  <si>
    <t xml:space="preserve">*RX(8) 01 00 5A 94 88 51 A2 00 </t>
  </si>
  <si>
    <t xml:space="preserve">*RX(8) 02 00 2A 82 C3 1A 83 00 </t>
  </si>
  <si>
    <t xml:space="preserve"> RX(8) 01 00 36 1E 83 79 8C 00 </t>
  </si>
  <si>
    <t xml:space="preserve">*RX(8) 02 00 66 89 FE 0A F6 15 </t>
  </si>
  <si>
    <t xml:space="preserve"> RX(8) 01 00 2E 96 88 59 A2 00 </t>
  </si>
  <si>
    <t xml:space="preserve"> RX(8) 02 00 0E 82 2F 1A 83 00 </t>
  </si>
  <si>
    <t xml:space="preserve">*RX(8) 01 00 A2 1D 83 77 8C 00 </t>
  </si>
  <si>
    <t xml:space="preserve"> RX(8) 02 00 65 89 FF 0A 26 16 </t>
  </si>
  <si>
    <t xml:space="preserve">*RX(8) 02 00 17 82 5E 1A 83 00 </t>
  </si>
  <si>
    <t xml:space="preserve"> RX(8) 01 00 D1 1D 83 77 8C 00 </t>
  </si>
  <si>
    <t xml:space="preserve">*RX(8) 02 00 67 89 FD 0A 7D 14 </t>
  </si>
  <si>
    <t xml:space="preserve"> RX(8) 02 00 C6 81 B7 18 83 00 </t>
  </si>
  <si>
    <t xml:space="preserve">*RX(8) 01 00 2B 1C 83 71 8C 00 </t>
  </si>
  <si>
    <t xml:space="preserve"> RX(8) 02 00 66 89 FE 0A 48 14 </t>
  </si>
  <si>
    <t xml:space="preserve">*RX(8) 01 00 2E 96 88 59 A2 00 </t>
  </si>
  <si>
    <t xml:space="preserve">*RX(8) 02 00 B8 81 6E 18 83 00 </t>
  </si>
  <si>
    <t xml:space="preserve"> RX(8) 01 00 E2 1B 83 70 8C 00 </t>
  </si>
  <si>
    <t xml:space="preserve">*RX(8) 02 00 67 89 FD 0A 53 15 </t>
  </si>
  <si>
    <t xml:space="preserve"> RX(8) 01 00 92 95 88 56 A2 00 </t>
  </si>
  <si>
    <t xml:space="preserve"> RX(8) 02 00 EB 81 77 19 83 00 </t>
  </si>
  <si>
    <t xml:space="preserve">*RX(8) 01 00 EB 1C 83 74 8C 00 </t>
  </si>
  <si>
    <t xml:space="preserve"> RX(8) 02 00 67 89 FC 0A 83 15 </t>
  </si>
  <si>
    <t xml:space="preserve">*RX(8) 01 00 44 95 88 55 A2 00 </t>
  </si>
  <si>
    <t xml:space="preserve">*RX(8) 02 00 F8 81 BC 19 83 00 </t>
  </si>
  <si>
    <t xml:space="preserve"> RX(8) 01 00 2F 1D 83 75 8C 00 </t>
  </si>
  <si>
    <t xml:space="preserve">*RX(8) 02 00 65 89 FF 0A C0 14 </t>
  </si>
  <si>
    <t xml:space="preserve"> RX(8) 01 00 19 97 88 5C A2 00 </t>
  </si>
  <si>
    <t xml:space="preserve"> RX(8) 02 00 D7 81 0F 19 83 00 </t>
  </si>
  <si>
    <t xml:space="preserve">*RX(8) 01 00 83 1C 83 72 8C 00 </t>
  </si>
  <si>
    <t xml:space="preserve"> RX(8) 02 00 65 89 FF 0A 24 15 </t>
  </si>
  <si>
    <t xml:space="preserve">*RX(8) 01 00 67 97 88 5E A2 00 </t>
  </si>
  <si>
    <t xml:space="preserve">*RX(8) 02 00 C8 81 C2 18 83 00 </t>
  </si>
  <si>
    <t xml:space="preserve"> RX(8) 01 00 36 1C 83 71 8C 00 </t>
  </si>
  <si>
    <t xml:space="preserve">*RX(8) 02 00 66 89 FE 0A 19 15 </t>
  </si>
  <si>
    <t xml:space="preserve"> RX(8) 02 00 E0 81 3E 19 83 00 </t>
  </si>
  <si>
    <t xml:space="preserve">*RX(8) 01 00 B2 1C 83 73 8C 00 </t>
  </si>
  <si>
    <t xml:space="preserve"> RX(8) 02 00 71 89 F1 0A EF 38 </t>
  </si>
  <si>
    <t xml:space="preserve">*RX(8) 01 00 B9 8C 88 33 A2 00 </t>
  </si>
  <si>
    <t xml:space="preserve">*RX(8) 02 00 00 88 2F 3C 83 00 </t>
  </si>
  <si>
    <t xml:space="preserve"> RX(8) 01 00 9D 3F 83 FE 8C 00 </t>
  </si>
  <si>
    <t xml:space="preserve">*RX(8) 02 00 70 89 F2 0A 4B 39 </t>
  </si>
  <si>
    <t xml:space="preserve"> RX(8) 01 00 55 8D 88 35 A2 00 </t>
  </si>
  <si>
    <t xml:space="preserve"> RX(8) 02 00 00 88 7C 3C 83 00 </t>
  </si>
  <si>
    <t xml:space="preserve">*RX(8) 01 00 EA 3F 83 00 8D 00 </t>
  </si>
  <si>
    <t xml:space="preserve"> RX(8) 02 00 6E 89 F4 0A 16 38 </t>
  </si>
  <si>
    <t xml:space="preserve">*RX(8) 02 00 E2 87 81 3B 83 00 </t>
  </si>
  <si>
    <t xml:space="preserve"> RX(8) 01 00 EF 3E 83 FC 8C 00 </t>
  </si>
  <si>
    <t xml:space="preserve">*RX(8) 02 00 6E 89 F4 0A FC 37 </t>
  </si>
  <si>
    <t xml:space="preserve"> RX(8) 02 00 DA 87 51 3B 83 00 </t>
  </si>
  <si>
    <t xml:space="preserve"> RX(8) 02 00 71 89 F1 0A 53 38 </t>
  </si>
  <si>
    <t xml:space="preserve">*RX(8) 01 00 07 8D 88 34 A2 00 </t>
  </si>
  <si>
    <t xml:space="preserve">*RX(8) 02 00 E2 87 7F 3B 83 00 </t>
  </si>
  <si>
    <t xml:space="preserve"> RX(8) 01 00 ED 3E 83 FC 8C 00 </t>
  </si>
  <si>
    <t xml:space="preserve">*RX(8) 02 00 6F 89 F3 0A DC 38 </t>
  </si>
  <si>
    <t xml:space="preserve"> RX(8) 01 00 F1 8D 88 38 A2 00 </t>
  </si>
  <si>
    <t xml:space="preserve"> RX(8) 02 00 00 88 30 3C 83 00 </t>
  </si>
  <si>
    <t xml:space="preserve">*RX(8) 01 00 9E 3F 83 FE 8C 00 </t>
  </si>
  <si>
    <t xml:space="preserve"> RX(8) 02 00 6F 89 F3 0A 0D 39 </t>
  </si>
  <si>
    <t xml:space="preserve">*RX(8) 02 00 F3 87 E2 3B 83 00 </t>
  </si>
  <si>
    <t xml:space="preserve"> RX(8) 01 00 50 3F 83 FD 8C 00 </t>
  </si>
  <si>
    <t xml:space="preserve">*RX(8) 02 00 71 89 F0 0A A6 38 </t>
  </si>
  <si>
    <t xml:space="preserve"> RX(8) 02 00 ED 87 BE 3B 83 00 </t>
  </si>
  <si>
    <t xml:space="preserve">*RX(8) 01 00 2C 3F 83 FD 8C 00 </t>
  </si>
  <si>
    <t xml:space="preserve"> RX(8) 02 00 73 89 EE 0A 01 39 </t>
  </si>
  <si>
    <t xml:space="preserve">*RX(8) 02 00 00 88 04 3C 83 00 </t>
  </si>
  <si>
    <t xml:space="preserve"> RX(8) 01 00 72 3F 83 FE 8C 00 </t>
  </si>
  <si>
    <t xml:space="preserve">*RX(8) 02 00 73 89 EE 0A C6 38 </t>
  </si>
  <si>
    <t xml:space="preserve"> RX(8) 02 00 E4 87 8C 3B 83 00 </t>
  </si>
  <si>
    <t xml:space="preserve">*RX(8) 01 00 FA 3E 83 FC 8C 00 </t>
  </si>
  <si>
    <t xml:space="preserve"> RX(8) 02 00 73 89 EE 0A FA 38 </t>
  </si>
  <si>
    <t xml:space="preserve">*RX(8) 01 00 AB 89 88 27 A2 00 </t>
  </si>
  <si>
    <t xml:space="preserve">*RX(8) 02 00 F7 87 FD 3B 83 00 </t>
  </si>
  <si>
    <t xml:space="preserve"> RX(8) 01 00 6B 3F 83 FE 8C 00 </t>
  </si>
  <si>
    <t xml:space="preserve">*RX(8) 02 00 73 89 EE 0A EB 38 </t>
  </si>
  <si>
    <t xml:space="preserve"> RX(8) 01 00 48 8A 88 29 A2 00 </t>
  </si>
  <si>
    <t xml:space="preserve"> RX(8) 02 00 00 88 03 3C 83 00 </t>
  </si>
  <si>
    <t xml:space="preserve">*RX(8) 01 00 71 3F 83 FE 8C 00 </t>
  </si>
  <si>
    <t xml:space="preserve"> RX(8) 02 00 71 89 F0 0A F4 38 </t>
  </si>
  <si>
    <t xml:space="preserve">*RX(8) 02 00 E3 87 86 3B 83 00 </t>
  </si>
  <si>
    <t xml:space="preserve"> RX(8) 01 00 F4 3E 83 FC 8C 00 </t>
  </si>
  <si>
    <t xml:space="preserve">*RX(8) 02 00 72 89 EF 0A 66 38 </t>
  </si>
  <si>
    <t xml:space="preserve"> RX(8) 02 00 E2 87 7F 3B 83 00 </t>
  </si>
  <si>
    <t xml:space="preserve"> RX(8) 02 00 72 89 EF 0A D4 38 </t>
  </si>
  <si>
    <t xml:space="preserve">*RX(8) 01 00 96 8A 88 2A A2 00 </t>
  </si>
  <si>
    <t xml:space="preserve">*RX(8) 02 00 F4 87 EC 3B 83 00 </t>
  </si>
  <si>
    <t xml:space="preserve"> RX(8) 01 00 5A 3F 83 FD 8C 00 </t>
  </si>
  <si>
    <t xml:space="preserve">*RX(8) 02 00 72 89 EF 0A A4 38 </t>
  </si>
  <si>
    <t xml:space="preserve"> RX(8) 01 00 E4 8A 88 2C A2 00 </t>
  </si>
  <si>
    <t xml:space="preserve"> RX(8) 02 00 E2 87 80 3B 83 00 </t>
  </si>
  <si>
    <t xml:space="preserve">*RX(8) 01 00 3E 3F 83 FD 8C 00 </t>
  </si>
  <si>
    <t xml:space="preserve"> RX(8) 02 00 71 89 F0 0A DD 38 </t>
  </si>
  <si>
    <t xml:space="preserve">*RX(8) 01 00 32 8B 88 2D A2 00 </t>
  </si>
  <si>
    <t xml:space="preserve">*RX(8) 02 00 00 88 09 3C 83 00 </t>
  </si>
  <si>
    <t xml:space="preserve"> RX(8) 01 00 77 3F 83 FE 8C 00 </t>
  </si>
  <si>
    <t xml:space="preserve">*RX(8) 02 00 71 89 F0 0A 04 39 </t>
  </si>
  <si>
    <t xml:space="preserve"> RX(8) 01 00 1C 8C 88 30 A2 00 </t>
  </si>
  <si>
    <t xml:space="preserve"> RX(8) 02 00 00 88 44 3C 83 00 </t>
  </si>
  <si>
    <t xml:space="preserve">*RX(8) 01 00 B2 3F 83 FF 8C 00 </t>
  </si>
  <si>
    <t xml:space="preserve"> RX(8) 02 00 70 89 F2 0A A0 38 </t>
  </si>
  <si>
    <t xml:space="preserve">*RX(8) 02 00 F6 87 F4 3B 83 00 </t>
  </si>
  <si>
    <t xml:space="preserve"> RX(8) 01 00 62 3F 83 FE 8C 00 </t>
  </si>
  <si>
    <t xml:space="preserve">*RX(8) 02 00 6C 89 F6 0A C1 38 </t>
  </si>
  <si>
    <t xml:space="preserve"> RX(8) 02 00 00 88 5E 3C 83 00 </t>
  </si>
  <si>
    <t xml:space="preserve">*RX(8) 01 00 CC 3F 83 FF 8C 00 </t>
  </si>
  <si>
    <t xml:space="preserve"> RX(8) 02 00 6C 89 F7 0A 9E 39 </t>
  </si>
  <si>
    <t xml:space="preserve">*RX(8) 02 00 00 88 2F 3D 83 00 </t>
  </si>
  <si>
    <t xml:space="preserve"> RX(8) 01 00 9D 40 83 02 8D 00 </t>
  </si>
  <si>
    <t xml:space="preserve">*RX(8) 02 00 6C 89 F6 0A B5 38 </t>
  </si>
  <si>
    <t xml:space="preserve"> RX(8) 01 00 62 90 88 42 A2 00 </t>
  </si>
  <si>
    <t xml:space="preserve"> RX(8) 02 00 00 88 47 3C 83 00 </t>
  </si>
  <si>
    <t xml:space="preserve">*RX(8) 01 00 B5 3F 83 FF 8C 00 </t>
  </si>
  <si>
    <t xml:space="preserve"> RX(8) 02 00 6C 89 F7 0A 51 38 </t>
  </si>
  <si>
    <t xml:space="preserve">*RX(8) 02 00 F3 87 E4 3B 83 00 </t>
  </si>
  <si>
    <t xml:space="preserve"> RX(8) 01 00 52 3F 83 FD 8C 00 </t>
  </si>
  <si>
    <t xml:space="preserve">*RX(8) 02 00 6C 89 F7 0A AC 38 </t>
  </si>
  <si>
    <t xml:space="preserve"> RX(8) 02 00 00 88 21 3C 83 00 </t>
  </si>
  <si>
    <t xml:space="preserve">*RX(8) 01 00 8F 3F 83 FE 8C 00 </t>
  </si>
  <si>
    <t xml:space="preserve"> RX(8) 02 00 6C 89 F6 0A 1E 39 </t>
  </si>
  <si>
    <t xml:space="preserve">*RX(8) 01 00 62 90 88 42 A2 00 </t>
  </si>
  <si>
    <t xml:space="preserve">*RX(8) 02 00 00 88 B0 3C 83 00 </t>
  </si>
  <si>
    <t xml:space="preserve"> RX(8) 01 00 1E 40 83 00 8D 00 </t>
  </si>
  <si>
    <t xml:space="preserve">*RX(8) 02 00 6D 89 F5 0A C7 38 </t>
  </si>
  <si>
    <t xml:space="preserve"> RX(8) 02 00 00 88 31 3C 83 00 </t>
  </si>
  <si>
    <t xml:space="preserve">*RX(8) 01 00 9F 3F 83 FE 8C 00 </t>
  </si>
  <si>
    <t xml:space="preserve"> RX(8) 02 00 6F 89 F3 0A 6C 39 </t>
  </si>
  <si>
    <t xml:space="preserve">*RX(8) 02 00 00 88 AC 3C 83 00 </t>
  </si>
  <si>
    <t xml:space="preserve"> RX(8) 01 00 1A 40 83 00 8D 00 </t>
  </si>
  <si>
    <t xml:space="preserve">*RX(8) 02 00 71 89 F0 0A E7 39 </t>
  </si>
  <si>
    <t xml:space="preserve"> RX(8) 02 00 00 88 11 3D 83 00 </t>
  </si>
  <si>
    <t xml:space="preserve">*RX(8) 01 00 7F 40 83 02 8D 00 </t>
  </si>
  <si>
    <t xml:space="preserve"> RX(8) 02 00 72 89 EF 0A 76 39 </t>
  </si>
  <si>
    <t xml:space="preserve">*RX(8) 01 00 E4 8A 88 2C A2 00 </t>
  </si>
  <si>
    <t xml:space="preserve">*RX(8) 02 00 00 88 79 3C 83 00 </t>
  </si>
  <si>
    <t xml:space="preserve"> RX(8) 01 00 E7 3F 83 00 8D 00 </t>
  </si>
  <si>
    <t xml:space="preserve">*RX(8) 02 00 74 89 ED 0A 00 39 </t>
  </si>
  <si>
    <t xml:space="preserve"> RX(8) 02 00 F5 87 EF 3B 83 00 </t>
  </si>
  <si>
    <t xml:space="preserve">*RX(8) 01 00 5D 3F 83 FD 8C 00 </t>
  </si>
  <si>
    <t xml:space="preserve"> RX(8) 02 00 3D 89 32 0B D2 07 </t>
  </si>
  <si>
    <t xml:space="preserve">*RX(8) 01 00 61 BF 88 FE A2 00 </t>
  </si>
  <si>
    <t xml:space="preserve">*RX(8) 02 00 00 80 61 0F 83 00 </t>
  </si>
  <si>
    <t xml:space="preserve"> RX(8) 01 00 D6 12 83 4B 8C 00 </t>
  </si>
  <si>
    <t xml:space="preserve">*RX(8) 02 00 3E 89 30 0B C5 07 </t>
  </si>
  <si>
    <t xml:space="preserve"> RX(8) 01 00 DB BD 88 F7 A2 00 </t>
  </si>
  <si>
    <t xml:space="preserve"> RX(8) 02 00 00 80 55 0F 83 00 </t>
  </si>
  <si>
    <t xml:space="preserve"> RX(8) 02 00 3E 89 30 0B 86 08 </t>
  </si>
  <si>
    <t xml:space="preserve">*RX(8) 01 00 DB BD 88 F7 A2 00 </t>
  </si>
  <si>
    <t xml:space="preserve">*RX(8) 02 00 00 80 15 10 83 00 </t>
  </si>
  <si>
    <t xml:space="preserve"> RX(8) 01 00 8A 13 83 4E 8C 00 </t>
  </si>
  <si>
    <t xml:space="preserve">*RX(8) 02 00 3E 89 30 0B 57 08 </t>
  </si>
  <si>
    <t xml:space="preserve"> RX(8) 02 00 00 80 E6 0F 83 00 </t>
  </si>
  <si>
    <t xml:space="preserve">*RX(8) 01 00 5B 13 83 4D 8C 00 </t>
  </si>
  <si>
    <t xml:space="preserve"> RX(8) 02 00 3E 89 31 0B 4B 08 </t>
  </si>
  <si>
    <t xml:space="preserve">*RX(8) 01 00 77 BE 88 FA A2 00 </t>
  </si>
  <si>
    <t xml:space="preserve">*RX(8) 02 00 00 80 DA 0F 83 00 </t>
  </si>
  <si>
    <t xml:space="preserve"> RX(8) 01 00 4F 13 83 4D 8C 00 </t>
  </si>
  <si>
    <t xml:space="preserve">*RX(8) 02 00 3E 89 31 0B AD 08 </t>
  </si>
  <si>
    <t xml:space="preserve"> RX(8) 01 00 C5 BE 88 FB A2 00 </t>
  </si>
  <si>
    <t xml:space="preserve"> RX(8) 02 00 00 80 51 10 83 00 </t>
  </si>
  <si>
    <t xml:space="preserve"> RX(8) 02 00 3D 89 32 0B 47 09 </t>
  </si>
  <si>
    <t xml:space="preserve">*RX(8) 01 00 13 BF 88 FC A2 00 </t>
  </si>
  <si>
    <t xml:space="preserve">*RX(8) 02 00 23 80 E9 10 83 00 </t>
  </si>
  <si>
    <t xml:space="preserve"> RX(8) 01 00 5E 14 83 51 8C 00 </t>
  </si>
  <si>
    <t xml:space="preserve">*RX(8) 02 00 3D 89 32 0B CF 08 </t>
  </si>
  <si>
    <t xml:space="preserve"> RX(8) 01 00 13 BF 88 FC A2 00 </t>
  </si>
  <si>
    <t xml:space="preserve"> RX(8) 02 00 00 80 72 10 83 00 </t>
  </si>
  <si>
    <t xml:space="preserve">*RX(8) 01 00 E7 13 83 50 8C 00 </t>
  </si>
  <si>
    <t xml:space="preserve"> RX(8) 02 00 3C 89 33 0B BC 08 </t>
  </si>
  <si>
    <t xml:space="preserve">*RX(8) 01 00 AF BF 88 FF A2 00 </t>
  </si>
  <si>
    <t xml:space="preserve">*RX(8) 02 00 09 80 89 10 83 00 </t>
  </si>
  <si>
    <t xml:space="preserve"> RX(8) 01 00 FE 13 83 50 8C 00 </t>
  </si>
  <si>
    <t xml:space="preserve">*RX(8) 02 00 3B 89 34 0B 2E 08 </t>
  </si>
  <si>
    <t xml:space="preserve"> RX(8) 01 00 E8 C0 88 04 A3 00 </t>
  </si>
  <si>
    <t xml:space="preserve"> RX(8) 02 00 00 80 FC 0F 83 00 </t>
  </si>
  <si>
    <t xml:space="preserve">*RX(8) 01 00 71 13 83 4E 8C 00 </t>
  </si>
  <si>
    <t xml:space="preserve"> RX(8) 02 00 3B 89 35 0B A9 08 </t>
  </si>
  <si>
    <t xml:space="preserve">*RX(8) 01 00 84 C1 88 06 A3 00 </t>
  </si>
  <si>
    <t xml:space="preserve">*RX(8) 02 00 00 80 76 10 83 00 </t>
  </si>
  <si>
    <t xml:space="preserve"> RX(8) 01 00 EB 13 83 50 8C 00 </t>
  </si>
  <si>
    <t xml:space="preserve">*RX(8) 02 00 3B 89 34 0B 74 08 </t>
  </si>
  <si>
    <t xml:space="preserve"> RX(8) 01 00 9A C0 88 02 A3 00 </t>
  </si>
  <si>
    <t xml:space="preserve"> RX(8) 02 00 00 80 2D 10 83 00 </t>
  </si>
  <si>
    <t xml:space="preserve">*RX(8) 01 00 A2 13 83 4F 8C 00 </t>
  </si>
  <si>
    <t xml:space="preserve"> RX(8) 02 00 3B 89 34 0B 35 09 </t>
  </si>
  <si>
    <t xml:space="preserve">*RX(8) 01 00 9A C0 88 02 A3 00 </t>
  </si>
  <si>
    <t xml:space="preserve">*RX(8) 02 00 29 80 01 11 83 00 </t>
  </si>
  <si>
    <t xml:space="preserve"> RX(8) 01 00 76 14 83 52 8C 00 </t>
  </si>
  <si>
    <t xml:space="preserve">*RX(8) 02 00 3B 89 35 0B 08 09 </t>
  </si>
  <si>
    <t xml:space="preserve"> RX(8) 01 00 84 C1 88 06 A3 00 </t>
  </si>
  <si>
    <t xml:space="preserve"> RX(8) 02 00 1D 80 D4 10 83 00 </t>
  </si>
  <si>
    <t xml:space="preserve">*RX(8) 01 00 49 14 83 51 8C 00 </t>
  </si>
  <si>
    <t xml:space="preserve"> RX(8) 02 00 3A 89 36 0B 03 09 </t>
  </si>
  <si>
    <t xml:space="preserve">*RX(8) 01 00 D2 C1 88 07 A3 00 </t>
  </si>
  <si>
    <t xml:space="preserve">*RX(8) 02 00 22 80 E4 10 83 00 </t>
  </si>
  <si>
    <t xml:space="preserve"> RX(8) 01 00 59 14 83 51 8C 00 </t>
  </si>
  <si>
    <t xml:space="preserve">*RX(8) 02 00 3A 89 36 0B CB 08 </t>
  </si>
  <si>
    <t xml:space="preserve"> RX(8) 01 00 20 C2 88 09 A3 00 </t>
  </si>
  <si>
    <t xml:space="preserve"> RX(8) 02 00 13 80 AD 10 83 00 </t>
  </si>
  <si>
    <t xml:space="preserve"> RX(8) 02 00 3A 89 36 0B 9E 08 </t>
  </si>
  <si>
    <t xml:space="preserve">*RX(8) 01 00 20 C2 88 09 A3 00 </t>
  </si>
  <si>
    <t xml:space="preserve">*RX(8) 02 00 05 80 80 10 83 00 </t>
  </si>
  <si>
    <t xml:space="preserve"> RX(8) 01 00 F5 13 83 50 8C 00 </t>
  </si>
  <si>
    <t xml:space="preserve">*RX(8) 02 00 3A 89 36 0B 77 08 </t>
  </si>
  <si>
    <t xml:space="preserve"> RX(8) 01 00 6F C2 88 0A A3 00 </t>
  </si>
  <si>
    <t xml:space="preserve"> RX(8) 02 00 30 80 1F 11 83 00 </t>
  </si>
  <si>
    <t xml:space="preserve">*RX(8) 01 00 94 14 83 52 8C 00 </t>
  </si>
  <si>
    <t xml:space="preserve"> RX(8) 02 00 3B 89 35 0B 7D 08 </t>
  </si>
  <si>
    <t xml:space="preserve">*RX(8) 02 00 00 80 4A 10 83 00 </t>
  </si>
  <si>
    <t xml:space="preserve"> RX(8) 01 00 BF 13 83 4F 8C 00 </t>
  </si>
  <si>
    <t xml:space="preserve">*RX(8) 02 00 3B 89 34 0B 96 08 </t>
  </si>
  <si>
    <t xml:space="preserve"> RX(8) 02 00 00 80 4E 10 83 00 </t>
  </si>
  <si>
    <t xml:space="preserve"> RX(8) 02 00 3D 89 32 0B DE 08 </t>
  </si>
  <si>
    <t xml:space="preserve">*RX(8) 02 00 00 80 6C 10 83 00 </t>
  </si>
  <si>
    <t xml:space="preserve"> RX(8) 01 00 E1 13 83 50 8C 00 </t>
  </si>
  <si>
    <t xml:space="preserve">*RX(8) 02 00 3E 89 31 0B CA 08 </t>
  </si>
  <si>
    <t xml:space="preserve"> RX(8) 01 00 77 BE 88 FA A2 00 </t>
  </si>
  <si>
    <t xml:space="preserve"> RX(8) 02 00 00 80 2F 10 83 00 </t>
  </si>
  <si>
    <t xml:space="preserve">*RX(8) 01 00 A4 13 83 4F 8C 00 </t>
  </si>
  <si>
    <t xml:space="preserve"> RX(8) 02 00 3D 89 32 0B 14 08 </t>
  </si>
  <si>
    <t xml:space="preserve">*RX(8) 02 00 00 80 B9 0F 83 00 </t>
  </si>
  <si>
    <t xml:space="preserve">*RX(8) 02 00 3D 89 32 0B 01 09 </t>
  </si>
  <si>
    <t xml:space="preserve"> RX(8) 02 00 16 80 B9 10 83 00 </t>
  </si>
  <si>
    <t xml:space="preserve">*RX(8) 01 00 2E 14 83 51 8C 00 </t>
  </si>
  <si>
    <t xml:space="preserve"> RX(8) 02 00 3B 89 34 0B 0C 09 </t>
  </si>
  <si>
    <t xml:space="preserve">*RX(8) 02 00 1E 80 D8 10 83 00 </t>
  </si>
  <si>
    <t xml:space="preserve"> RX(8) 01 00 4D 14 83 51 8C 00 </t>
  </si>
  <si>
    <t xml:space="preserve">*RX(8) 02 00 3B 89 35 0B 59 08 </t>
  </si>
  <si>
    <t xml:space="preserve"> RX(8) 01 00 36 C1 88 05 A3 00 </t>
  </si>
  <si>
    <t xml:space="preserve"> RX(8) 02 00 00 80 26 10 83 00 </t>
  </si>
  <si>
    <t xml:space="preserve">*RX(8) 01 00 9B 13 83 4E 8C 00 </t>
  </si>
  <si>
    <t xml:space="preserve"> RX(8) 02 00 3B 89 34 0B 07 09 </t>
  </si>
  <si>
    <t xml:space="preserve">*RX(8) 02 00 3B 89 34 0B 49 09 </t>
  </si>
  <si>
    <t xml:space="preserve"> RX(8) 02 00 29 80 00 11 83 00 </t>
  </si>
  <si>
    <t xml:space="preserve">*RX(8) 01 00 75 14 83 52 8C 00 </t>
  </si>
  <si>
    <t xml:space="preserve"> RX(8) 02 00 3C 89 33 0B 1F 09 </t>
  </si>
  <si>
    <t xml:space="preserve">*RX(8) 01 00 4C C0 88 01 A3 00 </t>
  </si>
  <si>
    <t xml:space="preserve">*RX(8) 02 00 1E 80 D6 10 83 00 </t>
  </si>
  <si>
    <t xml:space="preserve"> RX(8) 01 00 4B 14 83 51 8C 00 </t>
  </si>
  <si>
    <t xml:space="preserve">*RX(8) 02 00 3D 89 32 0B 2E 09 </t>
  </si>
  <si>
    <t xml:space="preserve"> RX(8) 02 00 1D 80 D1 10 83 00 </t>
  </si>
  <si>
    <t xml:space="preserve">*RX(8) 01 00 46 14 83 51 8C 00 </t>
  </si>
  <si>
    <t>temp avg = 15 s</t>
  </si>
  <si>
    <t>ch1 avg = 1 s</t>
  </si>
  <si>
    <t xml:space="preserve">*RX(8) 02 00 22 89 54 0B B2 06 </t>
  </si>
  <si>
    <t xml:space="preserve"> RX(8) 01 00 61 D9 88 66 A3 00 </t>
  </si>
  <si>
    <t xml:space="preserve"> RX(8) 02 00 18 80 C0 10 83 00 </t>
  </si>
  <si>
    <t xml:space="preserve">*RX(8) 01 00 35 14 83 51 8C 00 </t>
  </si>
  <si>
    <t xml:space="preserve"> RX(8) 02 00 22 89 54 0B BC 06 </t>
  </si>
  <si>
    <t xml:space="preserve">*RX(8) 01 00 8B D9 88 66 A3 00 </t>
  </si>
  <si>
    <t xml:space="preserve">*RX(8) 02 00 0D 80 96 10 83 00 </t>
  </si>
  <si>
    <t xml:space="preserve"> RX(8) 01 00 0B 14 83 50 8C 00 </t>
  </si>
  <si>
    <t xml:space="preserve">*RX(8) 02 00 22 89 54 0B 69 06 </t>
  </si>
  <si>
    <t xml:space="preserve"> RX(8) 01 00 9B D9 88 66 A3 00 </t>
  </si>
  <si>
    <t xml:space="preserve"> RX(8) 02 00 00 80 44 10 83 00 </t>
  </si>
  <si>
    <t xml:space="preserve">*RX(8) 01 00 B9 13 83 4F 8C 00 </t>
  </si>
  <si>
    <t xml:space="preserve"> RX(8) 02 00 23 89 53 0B 35 07 </t>
  </si>
  <si>
    <t xml:space="preserve">*RX(8) 01 00 76 D9 88 66 A3 00 </t>
  </si>
  <si>
    <t xml:space="preserve">*RX(8) 02 00 27 80 FA 10 83 00 </t>
  </si>
  <si>
    <t xml:space="preserve"> RX(8) 01 00 6F 14 83 52 8C 00 </t>
  </si>
  <si>
    <t xml:space="preserve">*RX(8) 02 00 23 89 53 0B E0 06 </t>
  </si>
  <si>
    <t xml:space="preserve"> RX(8) 01 00 19 D9 88 64 A3 00 </t>
  </si>
  <si>
    <t xml:space="preserve"> RX(8) 02 00 11 80 A5 10 83 00 </t>
  </si>
  <si>
    <t xml:space="preserve">*RX(8) 01 00 1A 14 83 50 8C 00 </t>
  </si>
  <si>
    <t xml:space="preserve"> RX(8) 02 00 23 89 53 0B 71 06 </t>
  </si>
  <si>
    <t xml:space="preserve">*RX(8) 01 00 C5 D8 88 63 A3 00 </t>
  </si>
  <si>
    <t xml:space="preserve">*RX(8) 02 00 0F 80 9F 10 83 00 </t>
  </si>
  <si>
    <t xml:space="preserve"> RX(8) 01 00 14 14 83 50 8C 00 </t>
  </si>
  <si>
    <t xml:space="preserve">*RX(8) 02 00 24 89 52 0B 0C 07 </t>
  </si>
  <si>
    <t xml:space="preserve"> RX(8) 01 00 2E D8 88 61 A3 00 </t>
  </si>
  <si>
    <t xml:space="preserve"> RX(8) 02 00 17 80 BB 10 83 00 </t>
  </si>
  <si>
    <t xml:space="preserve">*RX(8) 01 00 30 14 83 51 8C 00 </t>
  </si>
  <si>
    <t xml:space="preserve"> RX(8) 02 00 24 89 52 0B 8A 06 </t>
  </si>
  <si>
    <t xml:space="preserve">*RX(8) 01 00 E5 D7 88 60 A3 00 </t>
  </si>
  <si>
    <t xml:space="preserve"> RX(8) 01 00 9B 13 83 4E 8C 00 </t>
  </si>
  <si>
    <t xml:space="preserve">*RX(8) 02 00 25 89 51 0B 4B 05 </t>
  </si>
  <si>
    <t xml:space="preserve"> RX(8) 01 00 B6 D7 88 5F A3 00 </t>
  </si>
  <si>
    <t xml:space="preserve"> RX(8) 02 00 00 80 EA 0E 83 00 </t>
  </si>
  <si>
    <t xml:space="preserve">*RX(8) 01 00 5F 12 83 49 8C 00 </t>
  </si>
  <si>
    <t xml:space="preserve"> RX(8) 02 00 25 89 51 0B 46 02 </t>
  </si>
  <si>
    <t xml:space="preserve">*RX(8) 01 00 54 D7 88 5D A3 00 </t>
  </si>
  <si>
    <t xml:space="preserve">*RX(8) 02 00 00 80 EB 0B 83 00 </t>
  </si>
  <si>
    <t xml:space="preserve"> RX(8) 01 00 61 0F 83 3E 8C 00 </t>
  </si>
  <si>
    <t xml:space="preserve">*RX(8) 02 00 25 89 51 0B D3 06 </t>
  </si>
  <si>
    <t xml:space="preserve"> RX(8) 01 00 20 D7 88 5D A3 00 </t>
  </si>
  <si>
    <t xml:space="preserve"> RX(8) 02 00 00 80 6E 10 83 00 </t>
  </si>
  <si>
    <t xml:space="preserve">*RX(8) 01 00 E3 13 83 50 8C 00 </t>
  </si>
  <si>
    <t xml:space="preserve"> RX(8) 02 00 25 89 50 0B 74 06 </t>
  </si>
  <si>
    <t xml:space="preserve">*RX(8) 01 00 EB D6 88 5C A3 00 </t>
  </si>
  <si>
    <t xml:space="preserve">*RX(8) 02 00 00 80 10 10 83 00 </t>
  </si>
  <si>
    <t xml:space="preserve"> RX(8) 01 00 85 13 83 4E 8C 00 </t>
  </si>
  <si>
    <t xml:space="preserve">*RX(8) 02 00 25 89 50 0B E6 06 </t>
  </si>
  <si>
    <t xml:space="preserve"> RX(8) 01 00 9D D6 88 5A A3 00 </t>
  </si>
  <si>
    <t xml:space="preserve">*RX(8) 01 00 F6 13 83 50 8C 00 </t>
  </si>
  <si>
    <t xml:space="preserve"> RX(8) 02 00 25 89 50 0B 10 06 </t>
  </si>
  <si>
    <t xml:space="preserve">*RX(8) 01 00 64 D6 88 5A A3 00 </t>
  </si>
  <si>
    <t xml:space="preserve">*RX(8) 02 00 00 80 99 0F 83 00 </t>
  </si>
  <si>
    <t xml:space="preserve"> RX(8) 01 00 0E 13 83 4C 8C 00 </t>
  </si>
  <si>
    <t xml:space="preserve">*RX(8) 02 00 26 89 4F 0B 57 07 </t>
  </si>
  <si>
    <t xml:space="preserve"> RX(8) 01 00 0C D6 88 58 A3 00 </t>
  </si>
  <si>
    <t xml:space="preserve"> RX(8) 02 00 26 89 4F 0B 69 07 </t>
  </si>
  <si>
    <t xml:space="preserve">*RX(8) 01 00 99 D5 88 56 A3 00 </t>
  </si>
  <si>
    <t xml:space="preserve">*RX(8) 02 00 24 80 EE 10 83 00 </t>
  </si>
  <si>
    <t xml:space="preserve"> RX(8) 01 00 63 14 83 52 8C 00 </t>
  </si>
  <si>
    <t xml:space="preserve">*RX(8) 02 00 27 89 4E 0B 5F 07 </t>
  </si>
  <si>
    <t xml:space="preserve"> RX(8) 01 00 50 D5 88 55 A3 00 </t>
  </si>
  <si>
    <t xml:space="preserve"> RX(8) 02 00 1C 80 CF 10 83 00 </t>
  </si>
  <si>
    <t xml:space="preserve">*RX(8) 01 00 44 14 83 51 8C 00 </t>
  </si>
  <si>
    <t xml:space="preserve"> RX(8) 02 00 27 89 4E 0B 53 07 </t>
  </si>
  <si>
    <t xml:space="preserve">*RX(8) 01 00 17 D5 88 54 A3 00 </t>
  </si>
  <si>
    <t xml:space="preserve">*RX(8) 02 00 19 80 C3 10 83 00 </t>
  </si>
  <si>
    <t xml:space="preserve"> RX(8) 01 00 38 14 83 51 8C 00 </t>
  </si>
  <si>
    <t xml:space="preserve">*RX(8) 02 00 27 89 4E 0B 51 07 </t>
  </si>
  <si>
    <t xml:space="preserve"> RX(8) 01 00 D8 D4 88 53 A3 00 </t>
  </si>
  <si>
    <t xml:space="preserve"> RX(8) 02 00 19 80 C1 10 83 00 </t>
  </si>
  <si>
    <t xml:space="preserve"> RX(8) 02 00 27 89 4E 0B A0 06 </t>
  </si>
  <si>
    <t xml:space="preserve">*RX(8) 01 00 C9 D4 88 53 A3 00 </t>
  </si>
  <si>
    <t xml:space="preserve">*RX(8) 02 00 00 80 12 10 83 00 </t>
  </si>
  <si>
    <t xml:space="preserve"> RX(8) 01 00 87 13 83 4E 8C 00 </t>
  </si>
  <si>
    <t xml:space="preserve">*RX(8) 02 00 27 89 4E 0B 34 06 </t>
  </si>
  <si>
    <t xml:space="preserve"> RX(8) 01 00 ED D4 88 54 A3 00 </t>
  </si>
  <si>
    <t xml:space="preserve"> RX(8) 02 00 00 80 A7 0F 83 00 </t>
  </si>
  <si>
    <t xml:space="preserve">*RX(8) 01 00 1C 13 83 4C 8C 00 </t>
  </si>
  <si>
    <t xml:space="preserve"> RX(8) 02 00 27 89 4E 0B 03 07 </t>
  </si>
  <si>
    <t xml:space="preserve">*RX(8) 01 00 11 D5 88 54 A3 00 </t>
  </si>
  <si>
    <t xml:space="preserve">*RX(8) 02 00 00 80 74 10 83 00 </t>
  </si>
  <si>
    <t xml:space="preserve"> RX(8) 01 00 E9 13 83 50 8C 00 </t>
  </si>
  <si>
    <t xml:space="preserve">*RX(8) 02 00 27 89 4E 0B 4A 07 </t>
  </si>
  <si>
    <t xml:space="preserve"> RX(8) 01 00 3B D5 88 55 A3 00 </t>
  </si>
  <si>
    <t xml:space="preserve"> RX(8) 02 00 17 80 BA 10 83 00 </t>
  </si>
  <si>
    <t xml:space="preserve">*RX(8) 01 00 2F 14 83 51 8C 00 </t>
  </si>
  <si>
    <t xml:space="preserve"> RX(8) 02 00 26 89 4F 0B 8A 07 </t>
  </si>
  <si>
    <t xml:space="preserve">*RX(8) 01 00 5A D5 88 55 A3 00 </t>
  </si>
  <si>
    <t xml:space="preserve">*RX(8) 02 00 2C 80 0F 11 83 00 </t>
  </si>
  <si>
    <t xml:space="preserve">*RX(8) 02 00 26 89 4F 0B D9 07 </t>
  </si>
  <si>
    <t xml:space="preserve"> RX(8) 01 00 6A D5 88 56 A3 00 </t>
  </si>
  <si>
    <t xml:space="preserve"> RX(8) 02 00 3F 80 5D 11 83 00 </t>
  </si>
  <si>
    <t xml:space="preserve">*RX(8) 01 00 D2 14 83 53 8C 00 </t>
  </si>
  <si>
    <t xml:space="preserve"> RX(8) 02 00 26 89 4F 0B CA 06 </t>
  </si>
  <si>
    <t xml:space="preserve">*RX(8) 01 00 6F D5 88 56 A3 00 </t>
  </si>
  <si>
    <t xml:space="preserve">*RX(8) 02 00 00 80 3B 10 83 00 </t>
  </si>
  <si>
    <t xml:space="preserve">*RX(8) 02 00 27 89 4E 0B 33 07 </t>
  </si>
  <si>
    <t xml:space="preserve"> RX(8) 01 00 45 D5 88 55 A3 00 </t>
  </si>
  <si>
    <t xml:space="preserve"> RX(8) 02 00 11 80 A3 10 83 00 </t>
  </si>
  <si>
    <t xml:space="preserve">*RX(8) 01 00 18 14 83 50 8C 00 </t>
  </si>
  <si>
    <t xml:space="preserve"> RX(8) 02 00 27 89 4E 0B 3B 07 </t>
  </si>
  <si>
    <t xml:space="preserve">*RX(8) 02 00 13 80 AB 10 83 00 </t>
  </si>
  <si>
    <t xml:space="preserve"> RX(8) 01 00 20 14 83 51 8C 00 </t>
  </si>
  <si>
    <t xml:space="preserve">*RX(8) 02 00 28 89 4D 0B 12 07 </t>
  </si>
  <si>
    <t xml:space="preserve"> RX(8) 01 00 C8 D4 88 53 A3 00 </t>
  </si>
  <si>
    <t xml:space="preserve"> RX(8) 02 00 28 89 4D 0B 34 08 </t>
  </si>
  <si>
    <t xml:space="preserve">*RX(8) 01 00 08 D4 88 50 A3 00 </t>
  </si>
  <si>
    <t xml:space="preserve">*RX(8) 02 00 45 80 79 11 83 00 </t>
  </si>
  <si>
    <t xml:space="preserve"> RX(8) 01 00 EE 14 83 54 8C 00 </t>
  </si>
  <si>
    <t xml:space="preserve">*RX(8) 11 00 0F 00 FF FF 00 00 </t>
  </si>
  <si>
    <t>temp avg = 5 s</t>
  </si>
  <si>
    <t xml:space="preserve"> RX(8) 02 00 24 89 52 0B B8 05 </t>
  </si>
  <si>
    <t xml:space="preserve">*RX(8) 01 00 29 D8 88 61 A3 00 </t>
  </si>
  <si>
    <t xml:space="preserve">*RX(8) 02 00 00 80 6B 0F 83 00 </t>
  </si>
  <si>
    <t xml:space="preserve"> RX(8) 01 00 E0 12 83 4C 8C 00 </t>
  </si>
  <si>
    <t xml:space="preserve">*RX(8) 02 00 24 89 52 0B 0C 06 </t>
  </si>
  <si>
    <t xml:space="preserve"> RX(8) 01 00 87 D8 88 62 A3 00 </t>
  </si>
  <si>
    <t xml:space="preserve"> RX(8) 02 00 00 80 38 0F 83 00 </t>
  </si>
  <si>
    <t xml:space="preserve">*RX(8) 01 00 AD 12 83 4B 8C 00 </t>
  </si>
  <si>
    <t xml:space="preserve"> RX(8) 02 00 24 89 52 0B 45 05 </t>
  </si>
  <si>
    <t xml:space="preserve">*RX(8) 01 00 FA D7 88 60 A3 00 </t>
  </si>
  <si>
    <t xml:space="preserve">*RX(8) 02 00 00 80 E4 0E 83 00 </t>
  </si>
  <si>
    <t xml:space="preserve">*RX(8) 02 00 25 89 50 0B 7C 05 </t>
  </si>
  <si>
    <t xml:space="preserve"> RX(8) 01 00 E1 D6 88 5C A3 00 </t>
  </si>
  <si>
    <t xml:space="preserve"> RX(8) 02 00 00 80 06 0F 83 00 </t>
  </si>
  <si>
    <t xml:space="preserve">*RX(8) 01 00 7B 12 83 4A 8C 00 </t>
  </si>
  <si>
    <t xml:space="preserve"> RX(8) 02 00 26 89 4F 0B 71 05 </t>
  </si>
  <si>
    <t xml:space="preserve">*RX(8) 01 00 E7 D5 88 58 A3 00 </t>
  </si>
  <si>
    <t xml:space="preserve">*RX(8) 02 00 00 80 FB 0E 83 00 </t>
  </si>
  <si>
    <t xml:space="preserve"> RX(8) 01 00 70 12 83 4A 8C 00 </t>
  </si>
  <si>
    <t xml:space="preserve">*RX(8) 02 00 26 89 4F 0B 6E 06 </t>
  </si>
  <si>
    <t xml:space="preserve"> RX(8) 01 00 79 D5 88 56 A3 00 </t>
  </si>
  <si>
    <t xml:space="preserve"> RX(8) 02 00 00 80 F6 0F 83 00 </t>
  </si>
  <si>
    <t xml:space="preserve">*RX(8) 01 00 6B 13 83 4E 8C 00 </t>
  </si>
  <si>
    <t xml:space="preserve"> RX(8) 02 00 26 89 4F 0B 29 05 </t>
  </si>
  <si>
    <t xml:space="preserve">*RX(8) 01 00 B8 D5 88 57 A3 00 </t>
  </si>
  <si>
    <t xml:space="preserve">*RX(8) 02 00 00 80 7F 0F 83 00 </t>
  </si>
  <si>
    <t xml:space="preserve"> RX(8) 01 00 F4 12 83 4C 8C 00 </t>
  </si>
  <si>
    <t xml:space="preserve">*RX(8) 02 00 26 89 4F 0B 99 05 </t>
  </si>
  <si>
    <t xml:space="preserve"> RX(8) 01 00 26 D6 88 59 A3 00 </t>
  </si>
  <si>
    <t xml:space="preserve"> RX(8) 02 00 00 80 23 0F 83 00 </t>
  </si>
  <si>
    <t xml:space="preserve">*RX(8) 01 00 98 12 83 4A 8C 00 </t>
  </si>
  <si>
    <t xml:space="preserve"> RX(8) 02 00 25 89 50 0B 33 05 </t>
  </si>
  <si>
    <t xml:space="preserve">*RX(8) 01 00 83 D6 88 5A A3 00 </t>
  </si>
  <si>
    <t xml:space="preserve">*RX(8) 02 00 00 80 D2 0E 83 00 </t>
  </si>
  <si>
    <t xml:space="preserve"> RX(8) 01 00 47 12 83 49 8C 00 </t>
  </si>
  <si>
    <t xml:space="preserve">*RX(8) 02 00 25 89 51 0B 17 06 </t>
  </si>
  <si>
    <t xml:space="preserve"> RX(8) 01 00 1F D7 88 5C A3 00 </t>
  </si>
  <si>
    <t xml:space="preserve"> RX(8) 02 00 00 80 B4 0F 83 00 </t>
  </si>
  <si>
    <t xml:space="preserve">*RX(8) 01 00 29 13 83 4D 8C 00 </t>
  </si>
  <si>
    <t xml:space="preserve"> RX(8) 02 00 24 89 52 0B C7 05 </t>
  </si>
  <si>
    <t xml:space="preserve">*RX(8) 01 00 39 D8 88 61 A3 00 </t>
  </si>
  <si>
    <t xml:space="preserve">*RX(8) 02 00 00 80 8F 0F 83 00 </t>
  </si>
  <si>
    <t xml:space="preserve"> RX(8) 01 00 04 13 83 4C 8C 00 </t>
  </si>
  <si>
    <t xml:space="preserve">*RX(8) 02 00 23 89 53 0B 5F 05 </t>
  </si>
  <si>
    <t xml:space="preserve"> RX(8) 01 00 13 D9 88 64 A3 00 </t>
  </si>
  <si>
    <t xml:space="preserve"> RX(8) 02 00 00 80 3D 0F 83 00 </t>
  </si>
  <si>
    <t xml:space="preserve">*RX(8) 01 00 B2 12 83 4B 8C 00 </t>
  </si>
  <si>
    <t xml:space="preserve"> RX(8) 02 00 22 89 54 0B CF 05 </t>
  </si>
  <si>
    <t xml:space="preserve">*RX(8) 01 00 BF D9 88 67 A3 00 </t>
  </si>
  <si>
    <t xml:space="preserve">*RX(8) 02 00 00 80 AC 0F 83 00 </t>
  </si>
  <si>
    <t xml:space="preserve">*RX(8) 02 00 22 89 55 0B 17 06 </t>
  </si>
  <si>
    <t xml:space="preserve"> RX(8) 01 00 3C DA 88 69 A3 00 </t>
  </si>
  <si>
    <t xml:space="preserve"> RX(8) 02 00 00 80 F3 0F 83 00 </t>
  </si>
  <si>
    <t xml:space="preserve">*RX(8) 01 00 68 13 83 4E 8C 00 </t>
  </si>
  <si>
    <t xml:space="preserve"> RX(8) 02 00 22 89 55 0B 82 05 </t>
  </si>
  <si>
    <t xml:space="preserve">*RX(8) 01 00 9A DA 88 6A A3 00 </t>
  </si>
  <si>
    <t xml:space="preserve">*RX(8) 02 00 21 89 56 0B AA 05 </t>
  </si>
  <si>
    <t xml:space="preserve"> RX(8) 01 00 27 DB 88 6D A3 00 </t>
  </si>
  <si>
    <t xml:space="preserve"> RX(8) 02 00 00 80 AC 0F 83 00 </t>
  </si>
  <si>
    <t xml:space="preserve">*RX(8) 01 00 21 13 83 4D 8C 00 </t>
  </si>
  <si>
    <t xml:space="preserve"> RX(8) 02 00 20 89 57 0B 90 06 </t>
  </si>
  <si>
    <t xml:space="preserve">*RX(8) 01 00 94 DB 88 6E A3 00 </t>
  </si>
  <si>
    <t xml:space="preserve">*RX(8) 02 00 0C 80 95 10 83 00 </t>
  </si>
  <si>
    <t xml:space="preserve">*RX(8) 02 00 20 89 57 0B 44 06 </t>
  </si>
  <si>
    <t xml:space="preserve"> RX(8) 01 00 40 DC 88 71 A3 00 </t>
  </si>
  <si>
    <t xml:space="preserve"> RX(8) 02 00 00 80 4A 10 83 00 </t>
  </si>
  <si>
    <t xml:space="preserve">*RX(8) 01 00 BF 13 83 4F 8C 00 </t>
  </si>
  <si>
    <t xml:space="preserve"> RX(8) 02 00 20 89 57 0B 93 06 </t>
  </si>
  <si>
    <t xml:space="preserve">*RX(8) 01 00 6F DC 88 72 A3 00 </t>
  </si>
  <si>
    <t xml:space="preserve">*RX(8) 02 00 0D 80 98 10 83 00 </t>
  </si>
  <si>
    <t xml:space="preserve"> RX(8) 01 00 0D 14 83 50 8C 00 </t>
  </si>
  <si>
    <t xml:space="preserve">*RX(8) 02 00 20 89 57 0B 48 06 </t>
  </si>
  <si>
    <t xml:space="preserve"> RX(8) 01 00 30 DC 88 71 A3 00 </t>
  </si>
  <si>
    <t xml:space="preserve"> RX(8) 02 00 00 80 D6 0F 83 00 </t>
  </si>
  <si>
    <t xml:space="preserve">*RX(8) 01 00 C3 DB 88 6F A3 00 </t>
  </si>
  <si>
    <t xml:space="preserve">*RX(8) 02 00 21 89 56 0B 77 06 </t>
  </si>
  <si>
    <t xml:space="preserve"> RX(8) 01 00 94 DB 88 6E A3 00 </t>
  </si>
  <si>
    <t xml:space="preserve">*RX(8) 01 00 DC 13 83 4F 8C 00 </t>
  </si>
  <si>
    <t xml:space="preserve"> RX(8) 02 00 22 89 55 0B C9 06 </t>
  </si>
  <si>
    <t xml:space="preserve">*RX(8) 01 00 B9 DA 88 6B A3 00 </t>
  </si>
  <si>
    <t xml:space="preserve">*RX(8) 02 00 11 80 A3 10 83 00 </t>
  </si>
  <si>
    <t xml:space="preserve"> RX(8) 01 00 18 14 83 50 8C 00 </t>
  </si>
  <si>
    <t xml:space="preserve">*RX(8) 02 00 22 89 54 0B 03 06 </t>
  </si>
  <si>
    <t xml:space="preserve"> RX(8) 01 00 EE D9 88 68 A3 00 </t>
  </si>
  <si>
    <t xml:space="preserve"> RX(8) 02 00 00 80 DF 0F 83 00 </t>
  </si>
  <si>
    <t xml:space="preserve">*RX(8) 01 00 54 13 83 4D 8C 00 </t>
  </si>
  <si>
    <t xml:space="preserve"> RX(8) 02 00 22 89 54 0B D2 05 </t>
  </si>
  <si>
    <t xml:space="preserve">*RX(8) 01 00 90 D9 88 66 A3 00 </t>
  </si>
  <si>
    <t xml:space="preserve">*RX(8) 02 00 00 80 9A 0F 83 00 </t>
  </si>
  <si>
    <t xml:space="preserve"> RX(8) 01 00 0F 13 83 4C 8C 00 </t>
  </si>
  <si>
    <t xml:space="preserve">*RX(8) 02 00 23 89 53 0B 4A 06 </t>
  </si>
  <si>
    <t xml:space="preserve"> RX(8) 01 00 33 D9 88 65 A3 00 </t>
  </si>
  <si>
    <t xml:space="preserve"> RX(8) 02 00 00 80 11 10 83 00 </t>
  </si>
  <si>
    <t xml:space="preserve">*RX(8) 01 00 86 13 83 4E 8C 00 </t>
  </si>
  <si>
    <t xml:space="preserve"> RX(8) 02 00 24 89 52 0B D4 06 </t>
  </si>
  <si>
    <t xml:space="preserve">*RX(8) 01 00 58 D8 88 61 A3 00 </t>
  </si>
  <si>
    <t xml:space="preserve">*RX(8) 02 00 07 80 84 10 83 00 </t>
  </si>
  <si>
    <t xml:space="preserve"> RX(8) 01 00 F9 13 83 50 8C 00 </t>
  </si>
  <si>
    <t xml:space="preserve">*RX(8) 02 00 24 89 52 0B 90 06 </t>
  </si>
  <si>
    <t xml:space="preserve"> RX(8) 01 00 FA D7 88 60 A3 00 </t>
  </si>
  <si>
    <t xml:space="preserve"> RX(8) 02 00 00 80 2C 10 83 00 </t>
  </si>
  <si>
    <t xml:space="preserve">*RX(8) 01 00 A1 13 83 4F 8C 00 </t>
  </si>
  <si>
    <t xml:space="preserve"> RX(8) 02 00 25 89 51 0B 08 06 </t>
  </si>
  <si>
    <t xml:space="preserve">*RX(8) 01 00 BB D7 88 5F A3 00 </t>
  </si>
  <si>
    <t xml:space="preserve">*RX(8) 02 00 00 80 A5 0F 83 00 </t>
  </si>
  <si>
    <t xml:space="preserve"> RX(8) 01 00 1A 13 83 4C 8C 00 </t>
  </si>
  <si>
    <t xml:space="preserve">*RX(8) 02 00 25 89 51 0B 08 06 </t>
  </si>
  <si>
    <t xml:space="preserve"> RX(8) 01 00 CB D7 88 5F A3 00 </t>
  </si>
  <si>
    <t xml:space="preserve"> RX(8) 02 00 00 80 8D 0F 83 00 </t>
  </si>
  <si>
    <t xml:space="preserve">*RX(8) 01 00 02 13 83 4C 8C 00 </t>
  </si>
  <si>
    <t>ch1 avg = 5 s</t>
  </si>
  <si>
    <t xml:space="preserve">*RX(8) 02 00 1C 89 5C 0B 58 05 </t>
  </si>
  <si>
    <t xml:space="preserve"> RX(8) 01 00 BB DF 88 7F A3 00 </t>
  </si>
  <si>
    <t xml:space="preserve"> RX(8) 02 00 00 80 B3 0F 83 00 </t>
  </si>
  <si>
    <t xml:space="preserve">*RX(8) 01 00 28 13 83 4D 8C 00 </t>
  </si>
  <si>
    <t xml:space="preserve"> RX(8) 02 00 1B 89 5D 0B 80 05 </t>
  </si>
  <si>
    <t xml:space="preserve">*RX(8) 01 00 67 E0 88 82 A3 00 </t>
  </si>
  <si>
    <t xml:space="preserve">*RX(8) 02 00 00 80 F0 0F 83 00 </t>
  </si>
  <si>
    <t xml:space="preserve"> RX(8) 01 00 65 13 83 4E 8C 00 </t>
  </si>
  <si>
    <t xml:space="preserve">*RX(8) 02 00 1B 89 5D 0B 7F 05 </t>
  </si>
  <si>
    <t xml:space="preserve"> RX(8) 01 00 F3 E0 88 84 A3 00 </t>
  </si>
  <si>
    <t xml:space="preserve"> RX(8) 02 00 00 80 04 10 83 00 </t>
  </si>
  <si>
    <t xml:space="preserve">*RX(8) 01 00 79 13 83 4E 8C 00 </t>
  </si>
  <si>
    <t xml:space="preserve"> RX(8) 02 00 1A 89 5E 0B 94 05 </t>
  </si>
  <si>
    <t xml:space="preserve">*RX(8) 01 00 9F E1 88 86 A3 00 </t>
  </si>
  <si>
    <t xml:space="preserve">*RX(8) 02 00 19 89 60 0B 9C 05 </t>
  </si>
  <si>
    <t xml:space="preserve"> RX(8) 01 00 74 E3 88 8E A3 00 </t>
  </si>
  <si>
    <t xml:space="preserve"> RX(8) 02 00 17 89 62 0B B4 05 </t>
  </si>
  <si>
    <t xml:space="preserve">*RX(8) 01 00 9D E4 88 92 A3 00 </t>
  </si>
  <si>
    <t xml:space="preserve">*RX(8) 02 00 17 89 63 0B C6 05 </t>
  </si>
  <si>
    <t xml:space="preserve"> RX(8) 01 00 87 E5 88 96 A3 00 </t>
  </si>
  <si>
    <t xml:space="preserve"> RX(8) 02 00 0F 80 9D 10 83 00 </t>
  </si>
  <si>
    <t xml:space="preserve">*RX(8) 01 00 12 14 83 50 8C 00 </t>
  </si>
  <si>
    <t xml:space="preserve"> RX(8) 02 00 17 89 63 0B 7C 05 </t>
  </si>
  <si>
    <t xml:space="preserve">*RX(8) 01 00 B6 E5 88 97 A3 00 </t>
  </si>
  <si>
    <t xml:space="preserve">*RX(8) 02 00 00 80 3F 10 83 00 </t>
  </si>
  <si>
    <t xml:space="preserve"> RX(8) 01 00 B4 13 83 4F 8C 00 </t>
  </si>
  <si>
    <t xml:space="preserve">*RX(8) 02 00 17 89 62 0B 65 05 </t>
  </si>
  <si>
    <t xml:space="preserve"> RX(8) 01 00 CB E4 88 93 A3 00 </t>
  </si>
  <si>
    <t xml:space="preserve"> RX(8) 02 00 00 80 2E 10 83 00 </t>
  </si>
  <si>
    <t xml:space="preserve"> RX(8) 02 00 19 89 60 0B DB 05 </t>
  </si>
  <si>
    <t xml:space="preserve">*RX(8) 01 00 D1 E3 88 8F A3 00 </t>
  </si>
  <si>
    <t xml:space="preserve">*RX(8) 02 00 1A 89 5F 0B FC 05 </t>
  </si>
  <si>
    <t xml:space="preserve"> RX(8) 01 00 D8 E2 88 8B A3 00 </t>
  </si>
  <si>
    <t xml:space="preserve"> RX(8) 02 00 05 80 80 10 83 00 </t>
  </si>
  <si>
    <t xml:space="preserve">*RX(8) 01 00 F5 13 83 50 8C 00 </t>
  </si>
  <si>
    <t xml:space="preserve"> RX(8) 02 00 1A 89 5F 0B C8 05 </t>
  </si>
  <si>
    <t xml:space="preserve">*RX(8) 01 00 A9 E2 88 8B A3 00 </t>
  </si>
  <si>
    <t xml:space="preserve">*RX(8) 02 00 00 80 43 10 83 00 </t>
  </si>
  <si>
    <t xml:space="preserve">*RX(8) 02 00 19 89 60 0B B6 05 </t>
  </si>
  <si>
    <t xml:space="preserve"> RX(8) 02 00 00 80 4F 10 83 00 </t>
  </si>
  <si>
    <t xml:space="preserve">*RX(8) 01 00 C4 13 83 4F 8C 00 </t>
  </si>
  <si>
    <t xml:space="preserve"> RX(8) 02 00 19 89 60 0B AD 05 </t>
  </si>
  <si>
    <t xml:space="preserve">*RX(8) 01 00 16 E3 88 8C A3 00 </t>
  </si>
  <si>
    <t xml:space="preserve">*RX(8) 02 00 00 80 46 10 83 00 </t>
  </si>
  <si>
    <t xml:space="preserve"> RX(8) 01 00 BB 13 83 4F 8C 00 </t>
  </si>
  <si>
    <t xml:space="preserve">*RX(8) 02 00 1A 89 5F 0B 64 05 </t>
  </si>
  <si>
    <t xml:space="preserve"> RX(8) 02 00 00 80 E9 0F 83 00 </t>
  </si>
  <si>
    <t xml:space="preserve">*RX(8) 01 00 5E 13 83 4D 8C 00 </t>
  </si>
  <si>
    <t xml:space="preserve"> RX(8) 02 00 19 89 60 0B B0 05 </t>
  </si>
  <si>
    <t xml:space="preserve">*RX(8) 01 00 E7 E2 88 8C A3 00 </t>
  </si>
  <si>
    <t xml:space="preserve">*RX(8) 02 00 00 80 5E 10 83 00 </t>
  </si>
  <si>
    <t xml:space="preserve"> RX(8) 01 00 D3 13 83 4F 8C 00 </t>
  </si>
  <si>
    <t xml:space="preserve">*RX(8) 02 00 17 89 62 0B D2 05 </t>
  </si>
  <si>
    <t xml:space="preserve"> RX(8) 01 00 7D E4 88 92 A3 00 </t>
  </si>
  <si>
    <t xml:space="preserve"> RX(8) 02 00 0C 80 94 10 83 00 </t>
  </si>
  <si>
    <t xml:space="preserve">*RX(8) 01 00 09 14 83 50 8C 00 </t>
  </si>
  <si>
    <t xml:space="preserve"> RX(8) 02 00 17 89 63 0B E6 05 </t>
  </si>
  <si>
    <t xml:space="preserve">*RX(8) 01 00 C6 E5 88 97 A3 00 </t>
  </si>
  <si>
    <t xml:space="preserve">*RX(8) 02 00 17 80 BC 10 83 00 </t>
  </si>
  <si>
    <t xml:space="preserve"> RX(8) 01 00 31 14 83 51 8C 00 </t>
  </si>
  <si>
    <t xml:space="preserve">*RX(8) 02 00 15 89 65 0B 0F 06 </t>
  </si>
  <si>
    <t xml:space="preserve"> RX(8) 01 00 EE E6 88 9C A3 00 </t>
  </si>
  <si>
    <t xml:space="preserve"> RX(8) 02 00 2C 80 0F 11 83 00 </t>
  </si>
  <si>
    <t xml:space="preserve">*RX(8) 01 00 84 14 83 52 8C 00 </t>
  </si>
  <si>
    <t xml:space="preserve"> RX(8) 02 00 13 89 67 0B 0C 06 </t>
  </si>
  <si>
    <t xml:space="preserve">*RX(8) 01 00 27 E8 88 A1 A3 00 </t>
  </si>
  <si>
    <t xml:space="preserve">*RX(8) 02 00 30 80 21 11 83 00 </t>
  </si>
  <si>
    <t xml:space="preserve"> RX(8) 01 00 96 14 83 52 8C 00 </t>
  </si>
  <si>
    <t xml:space="preserve">*RX(8) 02 00 13 89 68 0B 04 06 </t>
  </si>
  <si>
    <t xml:space="preserve"> RX(8) 01 00 5F E9 88 A5 A3 00 </t>
  </si>
  <si>
    <t xml:space="preserve"> RX(8) 02 00 2F 80 19 11 83 00 </t>
  </si>
  <si>
    <t xml:space="preserve">*RX(8) 01 00 8E 14 83 52 8C 00 </t>
  </si>
  <si>
    <t xml:space="preserve"> RX(8) 02 00 13 89 68 0B F0 05 </t>
  </si>
  <si>
    <t xml:space="preserve">*RX(8) 01 00 6F E9 88 A6 A3 00 </t>
  </si>
  <si>
    <t xml:space="preserve">*RX(8) 02 00 13 89 67 0B 0E 06 </t>
  </si>
  <si>
    <t xml:space="preserve"> RX(8) 01 00 01 E9 88 A4 A3 00 </t>
  </si>
  <si>
    <t xml:space="preserve"> RX(8) 02 00 31 80 23 11 83 00 </t>
  </si>
  <si>
    <t xml:space="preserve">*RX(8) 01 00 98 14 83 52 8C 00 </t>
  </si>
  <si>
    <t xml:space="preserve"> RX(8) 02 00 14 89 66 0B 6E 06 </t>
  </si>
  <si>
    <t xml:space="preserve">*RX(8) 01 00 65 E8 88 A2 A3 00 </t>
  </si>
  <si>
    <t xml:space="preserve">*RX(8) 02 00 42 80 6D 11 83 00 </t>
  </si>
  <si>
    <t xml:space="preserve"> RX(8) 01 00 E2 14 83 54 8C 00 </t>
  </si>
  <si>
    <t xml:space="preserve">*RX(8) 02 00 14 89 66 0B 8F 06 </t>
  </si>
  <si>
    <t xml:space="preserve"> RX(8) 01 00 C9 E7 88 9F A3 00 </t>
  </si>
  <si>
    <t xml:space="preserve"> RX(8) 02 00 45 80 79 11 83 00 </t>
  </si>
  <si>
    <t xml:space="preserve">*RX(8) 01 00 EE 14 83 54 8C 00 </t>
  </si>
  <si>
    <t xml:space="preserve"> RX(8) 02 00 15 89 65 0B 71 06 </t>
  </si>
  <si>
    <t xml:space="preserve">*RX(8) 01 00 4C E7 88 9D A3 00 </t>
  </si>
  <si>
    <t xml:space="preserve">*RX(8) 02 00 3E 80 5C 11 83 00 </t>
  </si>
  <si>
    <t xml:space="preserve"> RX(8) 01 00 D1 14 83 53 8C 00 </t>
  </si>
  <si>
    <t xml:space="preserve">*RX(8) 02 00 15 89 65 0B 49 06 </t>
  </si>
  <si>
    <t xml:space="preserve"> RX(8) 01 00 1D E7 88 9C A3 00 </t>
  </si>
  <si>
    <t xml:space="preserve"> RX(8) 02 00 35 80 34 11 83 00 </t>
  </si>
  <si>
    <t xml:space="preserve">*RX(8) 01 00 A9 14 83 53 8C 00 </t>
  </si>
  <si>
    <t xml:space="preserve"> RX(8) 02 00 16 89 64 0B 63 06 </t>
  </si>
  <si>
    <t xml:space="preserve">*RX(8) 01 00 81 E6 88 9A A3 00 </t>
  </si>
  <si>
    <t xml:space="preserve">*RX(8) 02 00 36 80 38 11 83 00 </t>
  </si>
  <si>
    <t xml:space="preserve"> RX(8) 01 00 AD 14 83 53 8C 00 </t>
  </si>
  <si>
    <t xml:space="preserve">*RX(8) 02 00 17 89 63 0B 79 06 </t>
  </si>
  <si>
    <t xml:space="preserve"> RX(8) 01 00 D5 E5 88 97 A3 00 </t>
  </si>
  <si>
    <t xml:space="preserve"> RX(8) 02 00 38 80 40 11 83 00 </t>
  </si>
  <si>
    <t xml:space="preserve">*RX(8) 01 00 B5 14 83 53 8C 00 </t>
  </si>
  <si>
    <t xml:space="preserve"> RX(8) 02 00 17 89 63 0B 6E 06 </t>
  </si>
  <si>
    <t xml:space="preserve">*RX(8) 01 00 68 E5 88 96 A3 00 </t>
  </si>
  <si>
    <t xml:space="preserve">*RX(8) 02 00 34 80 2E 11 83 00 </t>
  </si>
  <si>
    <t xml:space="preserve"> RX(8) 01 00 A3 14 83 53 8C 00 </t>
  </si>
  <si>
    <t xml:space="preserve">*RX(8) 11 00 05 00 FF FF 00 00 </t>
  </si>
  <si>
    <t>note: ch1 avg time is 1, temp avg time is 5 s</t>
  </si>
  <si>
    <t>first obtaining values for new calibration and recalibrating, then doing the normal experiment</t>
  </si>
  <si>
    <t>a*ln(x)+b</t>
  </si>
  <si>
    <t>a =</t>
  </si>
  <si>
    <t>from 10:43 am to 10:53 am</t>
  </si>
  <si>
    <t>from 3:42pm to 3:48pm</t>
  </si>
  <si>
    <t>from 10:56 am to 11:01 am</t>
  </si>
  <si>
    <t>b =</t>
  </si>
  <si>
    <t>23.70 C to 23.25 C</t>
  </si>
  <si>
    <t>24.04C to 24.21C</t>
  </si>
  <si>
    <t>23.5 C to 23.65</t>
  </si>
  <si>
    <t>calibration info</t>
  </si>
  <si>
    <t>CO</t>
  </si>
  <si>
    <t>I did the range from 0 to 500 ppm</t>
  </si>
  <si>
    <t>0 ppm with lab air uV signals</t>
  </si>
  <si>
    <t>AVG</t>
  </si>
  <si>
    <t>36.9 ppm uV Signals</t>
  </si>
  <si>
    <t>100 ppm uV</t>
  </si>
  <si>
    <t>500 ppm uV</t>
  </si>
  <si>
    <t>then changed it to 0 to 2000 ppm</t>
  </si>
  <si>
    <t>put picture of calibration curve here too</t>
  </si>
  <si>
    <t>CO (ppm)</t>
  </si>
  <si>
    <t>calibrated with latest numbers</t>
  </si>
  <si>
    <t>resulting readings of gases in ppm range</t>
  </si>
  <si>
    <t>CO gas (ppm)</t>
  </si>
  <si>
    <t>min range (ppm)</t>
  </si>
  <si>
    <t>max range(ppm)</t>
  </si>
  <si>
    <t xml:space="preserve"> RX(8) 02 00 33 89 3E 0B 80 04 </t>
  </si>
  <si>
    <t xml:space="preserve">*RX(8) 02 00 41 89 2D 0B D8 31 </t>
  </si>
  <si>
    <t xml:space="preserve">*RX(8) 01 00 D7 C8 88 23 A3 00 </t>
  </si>
  <si>
    <t xml:space="preserve"> RX(8) 01 00 79 BB 88 EE A2 00 </t>
  </si>
  <si>
    <t xml:space="preserve">*RX(8) 02 00 00 80 72 10 83 00 </t>
  </si>
  <si>
    <t xml:space="preserve"> RX(8) 02 00 E0 81 4A 3C 83 00 </t>
  </si>
  <si>
    <t xml:space="preserve"> RX(8) 01 00 72 10 83 42 8C 00 </t>
  </si>
  <si>
    <t xml:space="preserve">*RX(8) 01 00 4A 3C 83 F1 8C 00 </t>
  </si>
  <si>
    <t xml:space="preserve">*RX(8) 02 00 33 89 3F 0B 8B 05 </t>
  </si>
  <si>
    <t xml:space="preserve"> RX(8) 02 00 42 89 2C 0B 33 32 </t>
  </si>
  <si>
    <t xml:space="preserve"> RX(8) 01 00 73 C9 88 26 A3 00 </t>
  </si>
  <si>
    <t xml:space="preserve">*RX(8) 01 00 9F BA 88 EA A2 00 </t>
  </si>
  <si>
    <t xml:space="preserve"> RX(8) 02 00 00 80 E1 10 83 00 </t>
  </si>
  <si>
    <t xml:space="preserve">*RX(8) 02 00 E3 81 91 3C 83 00 </t>
  </si>
  <si>
    <t xml:space="preserve">*RX(8) 01 00 E1 10 83 44 8C 00 </t>
  </si>
  <si>
    <t xml:space="preserve"> RX(8) 01 00 91 3C 83 F2 8C 00 </t>
  </si>
  <si>
    <t xml:space="preserve"> RX(8) 02 00 32 89 40 0B 35 04 </t>
  </si>
  <si>
    <t xml:space="preserve">*RX(8) 02 00 42 89 2B 0B EB 32 </t>
  </si>
  <si>
    <t xml:space="preserve">*RX(8) 01 00 3F CA 88 29 A3 00 </t>
  </si>
  <si>
    <t xml:space="preserve"> RX(8) 01 00 D3 B9 88 E7 A2 00 </t>
  </si>
  <si>
    <t xml:space="preserve">*RX(8) 02 00 00 80 3C 10 83 00 </t>
  </si>
  <si>
    <t xml:space="preserve"> RX(8) 02 00 EB 81 47 3D 83 00 </t>
  </si>
  <si>
    <t xml:space="preserve"> RX(8) 01 00 3C 10 83 41 8C 00 </t>
  </si>
  <si>
    <t xml:space="preserve">*RX(8) 01 00 47 3D 83 F5 8C 00 </t>
  </si>
  <si>
    <t xml:space="preserve">*RX(8) 02 00 32 89 40 0B 40 04 </t>
  </si>
  <si>
    <t xml:space="preserve"> RX(8) 02 00 42 89 2C 0B DE 32 </t>
  </si>
  <si>
    <t xml:space="preserve"> RX(8) 01 00 6E CA 88 2A A3 00 </t>
  </si>
  <si>
    <t xml:space="preserve">*RX(8) 01 00 50 BA 88 E9 A2 00 </t>
  </si>
  <si>
    <t xml:space="preserve"> RX(8) 02 00 00 80 47 10 83 00 </t>
  </si>
  <si>
    <t xml:space="preserve">*RX(8) 02 00 E9 81 24 3D 83 00 </t>
  </si>
  <si>
    <t xml:space="preserve">*RX(8) 01 00 47 10 83 41 8C 00 </t>
  </si>
  <si>
    <t xml:space="preserve"> RX(8) 01 00 24 3D 83 F5 8C 00 </t>
  </si>
  <si>
    <t xml:space="preserve"> RX(8) 02 00 33 89 3F 0B 3E 05 </t>
  </si>
  <si>
    <t xml:space="preserve">*RX(8) 02 00 41 89 2D 0B B3 32 </t>
  </si>
  <si>
    <t xml:space="preserve">*RX(8) 01 00 F0 C9 88 28 A3 00 </t>
  </si>
  <si>
    <t xml:space="preserve"> RX(8) 01 00 99 BB 88 EE A2 00 </t>
  </si>
  <si>
    <t xml:space="preserve">*RX(8) 02 00 00 80 2E 11 83 00 </t>
  </si>
  <si>
    <t xml:space="preserve"> RX(8) 02 00 EA 81 38 3D 83 00 </t>
  </si>
  <si>
    <t xml:space="preserve"> RX(8) 01 00 2E 11 83 45 8C 00 </t>
  </si>
  <si>
    <t xml:space="preserve">*RX(8) 01 00 38 3D 83 F5 8C 00 </t>
  </si>
  <si>
    <t xml:space="preserve">*RX(8) 02 00 33 89 3E 0B 37 05 </t>
  </si>
  <si>
    <t xml:space="preserve"> RX(8) 02 00 3F 89 2F 0B FD 32 </t>
  </si>
  <si>
    <t xml:space="preserve"> RX(8) 01 00 D7 C8 88 23 A3 00 </t>
  </si>
  <si>
    <t xml:space="preserve">*RX(8) 01 00 73 BC 88 F2 A2 00 </t>
  </si>
  <si>
    <t xml:space="preserve"> RX(8) 02 00 00 80 27 11 83 00 </t>
  </si>
  <si>
    <t xml:space="preserve">*RX(8) 02 00 EE 81 96 3D 83 00 </t>
  </si>
  <si>
    <t xml:space="preserve">*RX(8) 01 00 27 11 83 45 8C 00 </t>
  </si>
  <si>
    <t xml:space="preserve"> RX(8) 01 00 96 3D 83 F6 8C 00 </t>
  </si>
  <si>
    <t xml:space="preserve"> RX(8) 02 00 33 89 3E 0B 91 05 </t>
  </si>
  <si>
    <t xml:space="preserve">*RX(8) 02 00 3E 89 30 0B 12 33 </t>
  </si>
  <si>
    <t xml:space="preserve">*RX(8) 01 00 3B C8 88 21 A3 00 </t>
  </si>
  <si>
    <t xml:space="preserve"> RX(8) 01 00 3E BD 88 F5 A2 00 </t>
  </si>
  <si>
    <t xml:space="preserve">*RX(8) 02 00 00 80 36 11 83 00 </t>
  </si>
  <si>
    <t xml:space="preserve"> RX(8) 02 00 F0 81 BE 3D 83 00 </t>
  </si>
  <si>
    <t xml:space="preserve"> RX(8) 01 00 36 11 83 45 8C 00 </t>
  </si>
  <si>
    <t xml:space="preserve">*RX(8) 01 00 BE 3D 83 F7 8C 00 </t>
  </si>
  <si>
    <t xml:space="preserve">*RX(8) 02 00 35 89 3C 0B 62 05 </t>
  </si>
  <si>
    <t xml:space="preserve"> RX(8) 02 00 3E 89 31 0B E2 32 </t>
  </si>
  <si>
    <t xml:space="preserve"> RX(8) 01 00 8F C7 88 1E A3 00 </t>
  </si>
  <si>
    <t xml:space="preserve">*RX(8) 01 00 58 BE 88 F9 A2 00 </t>
  </si>
  <si>
    <t xml:space="preserve"> RX(8) 02 00 00 80 28 11 83 00 </t>
  </si>
  <si>
    <t xml:space="preserve">*RX(8) 02 00 EE 81 8F 3D 83 00 </t>
  </si>
  <si>
    <t xml:space="preserve">*RX(8) 01 00 28 11 83 45 8C 00 </t>
  </si>
  <si>
    <t xml:space="preserve"> RX(8) 01 00 8F 3D 83 F6 8C 00 </t>
  </si>
  <si>
    <t xml:space="preserve"> RX(8) 02 00 36 89 3B 0B DE 04 </t>
  </si>
  <si>
    <t xml:space="preserve">*RX(8) 02 00 3E 89 31 0B 8A 32 </t>
  </si>
  <si>
    <t xml:space="preserve">*RX(8) 01 00 95 C6 88 1A A3 00 </t>
  </si>
  <si>
    <t xml:space="preserve">*RX(8) 02 00 00 80 90 10 83 00 </t>
  </si>
  <si>
    <t xml:space="preserve"> RX(8) 02 00 E3 81 99 3C 83 00 </t>
  </si>
  <si>
    <t xml:space="preserve"> RX(8) 01 00 90 10 83 42 8C 00 </t>
  </si>
  <si>
    <t xml:space="preserve">*RX(8) 01 00 99 3C 83 F2 8C 00 </t>
  </si>
  <si>
    <t xml:space="preserve">*RX(8) 02 00 37 89 3A 0B C3 05 </t>
  </si>
  <si>
    <t xml:space="preserve"> RX(8) 02 00 3C 89 33 0B 29 32 </t>
  </si>
  <si>
    <t xml:space="preserve"> RX(8) 01 00 08 C6 88 18 A3 00 </t>
  </si>
  <si>
    <t xml:space="preserve">*RX(8) 01 00 42 BF 88 FD A2 00 </t>
  </si>
  <si>
    <t xml:space="preserve"> RX(8) 02 00 00 80 DE 10 83 00 </t>
  </si>
  <si>
    <t xml:space="preserve">*RX(8) 02 00 E8 81 00 3D 83 00 </t>
  </si>
  <si>
    <t xml:space="preserve">*RX(8) 01 00 DE 10 83 43 8C 00 </t>
  </si>
  <si>
    <t xml:space="preserve"> RX(8) 01 00 00 3D 83 F4 8C 00 </t>
  </si>
  <si>
    <t xml:space="preserve"> RX(8) 02 00 37 89 3A 0B 5D 05 </t>
  </si>
  <si>
    <t xml:space="preserve">*RX(8) 02 00 3B 89 34 0B D5 30 </t>
  </si>
  <si>
    <t xml:space="preserve">*RX(8) 01 00 5D C5 88 15 A3 00 </t>
  </si>
  <si>
    <t xml:space="preserve"> RX(8) 01 00 F7 C0 88 04 A3 00 </t>
  </si>
  <si>
    <t xml:space="preserve">*RX(8) 02 00 00 80 FA 10 83 00 </t>
  </si>
  <si>
    <t xml:space="preserve"> RX(8) 02 00 DA 81 C3 3B 83 00 </t>
  </si>
  <si>
    <t xml:space="preserve"> RX(8) 01 00 FA 10 83 44 8C 00 </t>
  </si>
  <si>
    <t xml:space="preserve">*RX(8) 01 00 C3 3B 83 EF 8C 00 </t>
  </si>
  <si>
    <t xml:space="preserve">*RX(8) 02 00 37 89 39 0B 18 05 </t>
  </si>
  <si>
    <t xml:space="preserve"> RX(8) 02 00 3A 89 36 0B D0 2D </t>
  </si>
  <si>
    <t xml:space="preserve"> RX(8) 01 00 1E C5 88 14 A3 00 </t>
  </si>
  <si>
    <t xml:space="preserve"> RX(8) 02 00 00 80 B5 10 83 00 </t>
  </si>
  <si>
    <t xml:space="preserve">*RX(8) 02 00 83 81 2E 34 83 00 </t>
  </si>
  <si>
    <t xml:space="preserve">*RX(8) 01 00 B5 10 83 43 8C 00 </t>
  </si>
  <si>
    <t xml:space="preserve"> RX(8) 01 00 2E 34 83 D1 8C 00 </t>
  </si>
  <si>
    <t xml:space="preserve"> RX(8) 02 00 37 89 3A 0B 93 04 </t>
  </si>
  <si>
    <t xml:space="preserve">*RX(8) 02 00 39 89 37 0B 88 32 </t>
  </si>
  <si>
    <t xml:space="preserve">*RX(8) 01 00 3E C5 88 15 A3 00 </t>
  </si>
  <si>
    <t xml:space="preserve"> RX(8) 01 00 EC C2 88 0C A3 00 </t>
  </si>
  <si>
    <t xml:space="preserve">*RX(8) 02 00 00 80 59 11 83 00 </t>
  </si>
  <si>
    <t xml:space="preserve"> RX(8) 02 00 EF 81 9B 3D 83 00 </t>
  </si>
  <si>
    <t xml:space="preserve"> RX(8) 01 00 59 11 83 45 8C 00 </t>
  </si>
  <si>
    <t xml:space="preserve">*RX(8) 01 00 9B 3D 83 F6 8C 00 </t>
  </si>
  <si>
    <t xml:space="preserve">*RX(8) 02 00 37 89 3A 0B 24 05 </t>
  </si>
  <si>
    <t xml:space="preserve"> RX(8) 02 00 38 89 38 0B 3E 32 </t>
  </si>
  <si>
    <t xml:space="preserve"> RX(8) 01 00 5D C5 88 15 A3 00 </t>
  </si>
  <si>
    <t xml:space="preserve">*RX(8) 01 00 C6 C3 88 0F A3 00 </t>
  </si>
  <si>
    <t xml:space="preserve"> RX(8) 02 00 00 80 C1 10 83 00 </t>
  </si>
  <si>
    <t xml:space="preserve">*RX(8) 02 00 EC 81 65 3D 83 00 </t>
  </si>
  <si>
    <t xml:space="preserve">*RX(8) 01 00 C1 10 83 43 8C 00 </t>
  </si>
  <si>
    <t xml:space="preserve"> RX(8) 01 00 65 3D 83 F6 8C 00 </t>
  </si>
  <si>
    <t xml:space="preserve"> RX(8) 02 00 37 89 3A 0B BE 04 </t>
  </si>
  <si>
    <t xml:space="preserve">*RX(8) 02 00 38 89 38 0B F3 32 </t>
  </si>
  <si>
    <t xml:space="preserve"> RX(8) 01 00 33 C4 88 11 A3 00 </t>
  </si>
  <si>
    <t xml:space="preserve"> RX(8) 02 00 F1 81 DA 3D 83 00 </t>
  </si>
  <si>
    <t xml:space="preserve"> RX(8) 01 00 5C 10 83 41 8C 00 </t>
  </si>
  <si>
    <t xml:space="preserve">*RX(8) 01 00 DA 3D 83 F7 8C 00 </t>
  </si>
  <si>
    <t xml:space="preserve">*RX(8) 02 00 37 89 3A 0B 0C 05 </t>
  </si>
  <si>
    <t xml:space="preserve"> RX(8) 02 00 38 89 38 0B 93 32 </t>
  </si>
  <si>
    <t xml:space="preserve"> RX(8) 01 00 2E C5 88 15 A3 00 </t>
  </si>
  <si>
    <t xml:space="preserve">*RX(8) 01 00 72 C4 88 12 A3 00 </t>
  </si>
  <si>
    <t xml:space="preserve"> RX(8) 02 00 00 80 89 10 83 00 </t>
  </si>
  <si>
    <t xml:space="preserve">*RX(8) 02 00 F0 81 BA 3D 83 00 </t>
  </si>
  <si>
    <t xml:space="preserve">*RX(8) 01 00 89 10 83 42 8C 00 </t>
  </si>
  <si>
    <t xml:space="preserve"> RX(8) 01 00 BA 3D 83 F7 8C 00 </t>
  </si>
  <si>
    <t xml:space="preserve"> RX(8) 02 00 37 89 3A 0B 31 05 </t>
  </si>
  <si>
    <t xml:space="preserve">*RX(8) 02 00 39 89 37 0B EA 32 </t>
  </si>
  <si>
    <t xml:space="preserve">*RX(8) 01 00 2E C5 88 15 A3 00 </t>
  </si>
  <si>
    <t xml:space="preserve"> RX(8) 01 00 98 C3 88 0E A3 00 </t>
  </si>
  <si>
    <t xml:space="preserve">*RX(8) 02 00 00 80 CE 10 83 00 </t>
  </si>
  <si>
    <t xml:space="preserve"> RX(8) 02 00 F3 81 FC 3D 83 00 </t>
  </si>
  <si>
    <t xml:space="preserve"> RX(8) 01 00 CE 10 83 43 8C 00 </t>
  </si>
  <si>
    <t xml:space="preserve">*RX(8) 01 00 FC 3D 83 F8 8C 00 </t>
  </si>
  <si>
    <t xml:space="preserve">*RX(8) 02 00 37 89 3A 0B 65 05 </t>
  </si>
  <si>
    <t xml:space="preserve"> RX(8) 02 00 39 89 37 0B F6 31 </t>
  </si>
  <si>
    <t xml:space="preserve"> RX(8) 01 00 9B C5 88 16 A3 00 </t>
  </si>
  <si>
    <t xml:space="preserve">*RX(8) 01 00 DC C2 88 0B A3 00 </t>
  </si>
  <si>
    <t xml:space="preserve"> RX(8) 02 00 00 80 16 11 83 00 </t>
  </si>
  <si>
    <t xml:space="preserve">*RX(8) 02 00 E8 81 0A 3D 83 00 </t>
  </si>
  <si>
    <t xml:space="preserve">*RX(8) 01 00 16 11 83 44 8C 00 </t>
  </si>
  <si>
    <t xml:space="preserve"> RX(8) 01 00 0A 3D 83 F4 8C 00 </t>
  </si>
  <si>
    <t xml:space="preserve"> RX(8) 02 00 36 89 3B 0B 39 05 </t>
  </si>
  <si>
    <t xml:space="preserve">*RX(8) 02 00 38 89 38 0B 4D 31 </t>
  </si>
  <si>
    <t xml:space="preserve">*RX(8) 01 00 57 C6 88 19 A3 00 </t>
  </si>
  <si>
    <t xml:space="preserve"> RX(8) 01 00 49 C3 88 0D A3 00 </t>
  </si>
  <si>
    <t xml:space="preserve">*RX(8) 02 00 00 80 FF 10 83 00 </t>
  </si>
  <si>
    <t xml:space="preserve"> RX(8) 02 00 E2 81 76 3C 83 00 </t>
  </si>
  <si>
    <t xml:space="preserve"> RX(8) 01 00 FF 10 83 44 8C 00 </t>
  </si>
  <si>
    <t xml:space="preserve">*RX(8) 01 00 76 3C 83 F2 8C 00 </t>
  </si>
  <si>
    <t xml:space="preserve">*RX(8) 02 00 35 89 3C 0B DF 05 </t>
  </si>
  <si>
    <t xml:space="preserve"> RX(8) 02 00 37 89 39 0B A1 33 </t>
  </si>
  <si>
    <t xml:space="preserve"> RX(8) 01 00 03 C7 88 1C A3 00 </t>
  </si>
  <si>
    <t xml:space="preserve">*RX(8) 01 00 43 C4 88 11 A3 00 </t>
  </si>
  <si>
    <t xml:space="preserve"> RX(8) 02 00 00 80 C4 11 83 00 </t>
  </si>
  <si>
    <t xml:space="preserve">*RX(8) 02 00 FD 81 DA 3E 83 00 </t>
  </si>
  <si>
    <t xml:space="preserve">*RX(8) 01 00 C4 11 83 47 8C 00 </t>
  </si>
  <si>
    <t xml:space="preserve"> RX(8) 01 00 DA 3E 83 FB 8C 00 </t>
  </si>
  <si>
    <t xml:space="preserve"> RX(8) 02 00 34 89 3D 0B BC 05 </t>
  </si>
  <si>
    <t xml:space="preserve">*RX(8) 02 00 37 89 3A 0B 4F 32 </t>
  </si>
  <si>
    <t xml:space="preserve">*RX(8) 01 00 BE C7 88 1F A3 00 </t>
  </si>
  <si>
    <t xml:space="preserve"> RX(8) 01 00 AB C5 88 17 A3 00 </t>
  </si>
  <si>
    <t xml:space="preserve">*RX(8) 02 00 00 80 AB 11 83 00 </t>
  </si>
  <si>
    <t xml:space="preserve"> RX(8) 02 00 EF 81 9F 3D 83 00 </t>
  </si>
  <si>
    <t xml:space="preserve"> RX(8) 01 00 AB 11 83 47 8C 00 </t>
  </si>
  <si>
    <t xml:space="preserve">*RX(8) 01 00 9F 3D 83 F6 8C 00 </t>
  </si>
  <si>
    <t xml:space="preserve">*RX(8) 02 00 33 89 3E 0B F4 05 </t>
  </si>
  <si>
    <t xml:space="preserve"> RX(8) 02 00 36 89 3B 0B 8D 32 </t>
  </si>
  <si>
    <t xml:space="preserve"> RX(8) 01 00 3B C8 88 21 A3 00 </t>
  </si>
  <si>
    <t xml:space="preserve">*RX(8) 01 00 56 C6 88 19 A3 00 </t>
  </si>
  <si>
    <t xml:space="preserve"> RX(8) 02 00 00 80 CE 11 83 00 </t>
  </si>
  <si>
    <t xml:space="preserve">*RX(8) 02 00 F1 81 DC 3D 83 00 </t>
  </si>
  <si>
    <t xml:space="preserve">*RX(8) 01 00 CE 11 83 47 8C 00 </t>
  </si>
  <si>
    <t xml:space="preserve"> RX(8) 01 00 DC 3D 83 F7 8C 00 </t>
  </si>
  <si>
    <t xml:space="preserve"> RX(8) 02 00 34 89 3D 0B 1C 05 </t>
  </si>
  <si>
    <t xml:space="preserve">*RX(8) 02 00 38 89 38 0B 4A 33 </t>
  </si>
  <si>
    <t xml:space="preserve">*RX(8) 01 00 AE C7 88 1F A3 00 </t>
  </si>
  <si>
    <t xml:space="preserve"> RX(8) 01 00 5C C5 88 15 A3 00 </t>
  </si>
  <si>
    <t xml:space="preserve">*RX(8) 02 00 00 80 E3 10 83 00 </t>
  </si>
  <si>
    <t xml:space="preserve"> RX(8) 02 00 ED 81 70 3D 83 00 </t>
  </si>
  <si>
    <t xml:space="preserve"> RX(8) 01 00 E3 10 83 44 8C 00 </t>
  </si>
  <si>
    <t xml:space="preserve">*RX(8) 01 00 70 3D 83 F6 8C 00 </t>
  </si>
  <si>
    <t xml:space="preserve">*RX(8) 02 00 35 89 3C 0B C7 04 </t>
  </si>
  <si>
    <t xml:space="preserve"> RX(8) 02 00 3B 89 35 0B 78 31 </t>
  </si>
  <si>
    <t xml:space="preserve"> RX(8) 01 00 02 C7 88 1C A3 00 </t>
  </si>
  <si>
    <t xml:space="preserve"> RX(8) 02 00 00 80 8E 10 83 00 </t>
  </si>
  <si>
    <t xml:space="preserve">*RX(8) 02 00 E0 81 50 3C 83 00 </t>
  </si>
  <si>
    <t xml:space="preserve">*RX(8) 01 00 8E 10 83 42 8C 00 </t>
  </si>
  <si>
    <t xml:space="preserve"> RX(8) 01 00 50 3C 83 F1 8C 00 </t>
  </si>
  <si>
    <t xml:space="preserve"> RX(8) 02 00 35 89 3C 0B 7B 05 </t>
  </si>
  <si>
    <t xml:space="preserve">*RX(8) 02 00 3E 89 31 0B B8 32 </t>
  </si>
  <si>
    <t xml:space="preserve">*RX(8) 01 00 A4 C6 88 1B A3 00 </t>
  </si>
  <si>
    <t xml:space="preserve"> RX(8) 01 00 96 BE 88 FA A2 00 </t>
  </si>
  <si>
    <t xml:space="preserve">*RX(8) 02 00 00 80 C1 10 83 00 </t>
  </si>
  <si>
    <t xml:space="preserve"> RX(8) 02 00 EC 81 65 3D 83 00 </t>
  </si>
  <si>
    <t xml:space="preserve"> RX(8) 01 00 C1 10 83 43 8C 00 </t>
  </si>
  <si>
    <t xml:space="preserve">*RX(8) 01 00 65 3D 83 F6 8C 00 </t>
  </si>
  <si>
    <t xml:space="preserve">*RX(8) 02 00 35 89 3C 0B 7F 05 </t>
  </si>
  <si>
    <t xml:space="preserve"> RX(8) 02 00 3E 89 30 0B 2D 30 </t>
  </si>
  <si>
    <t xml:space="preserve"> RX(8) 01 00 E3 C6 88 1C A3 00 </t>
  </si>
  <si>
    <t xml:space="preserve">*RX(8) 01 00 6D BD 88 F6 A2 00 </t>
  </si>
  <si>
    <t xml:space="preserve"> RX(8) 02 00 00 80 45 11 83 00 </t>
  </si>
  <si>
    <t xml:space="preserve">*RX(8) 02 00 CF 81 DF 3A 83 00 </t>
  </si>
  <si>
    <t xml:space="preserve">*RX(8) 01 00 45 11 83 45 8C 00 </t>
  </si>
  <si>
    <t xml:space="preserve"> RX(8) 01 00 DF 3A 83 EB 8C 00 </t>
  </si>
  <si>
    <t xml:space="preserve"> RX(8) 02 00 35 89 3C 0B 42 06 </t>
  </si>
  <si>
    <t xml:space="preserve">*RX(8) 02 00 3E 89 30 0B 72 30 </t>
  </si>
  <si>
    <t xml:space="preserve">*RX(8) 01 00 32 C7 88 1D A3 00 </t>
  </si>
  <si>
    <t xml:space="preserve"> RX(8) 01 00 CB BD 88 F7 A2 00 </t>
  </si>
  <si>
    <t xml:space="preserve">*RX(8) 02 00 00 80 06 12 83 00 </t>
  </si>
  <si>
    <t xml:space="preserve"> RX(8) 02 00 D3 81 24 3B 83 00 </t>
  </si>
  <si>
    <t xml:space="preserve"> RX(8) 01 00 06 12 83 48 8C 00 </t>
  </si>
  <si>
    <t xml:space="preserve">*RX(8) 01 00 24 3B 83 ED 8C 00 </t>
  </si>
  <si>
    <t xml:space="preserve">*RX(8) 02 00 36 89 3B 0B 83 06 </t>
  </si>
  <si>
    <t xml:space="preserve"> RX(8) 02 00 3D 89 32 0B BC 32 </t>
  </si>
  <si>
    <t xml:space="preserve"> RX(8) 01 00 86 C6 88 1A A3 00 </t>
  </si>
  <si>
    <t xml:space="preserve">*RX(8) 01 00 D5 BE 88 FB A2 00 </t>
  </si>
  <si>
    <t xml:space="preserve"> RX(8) 02 00 00 80 32 12 83 00 </t>
  </si>
  <si>
    <t xml:space="preserve">*RX(8) 02 00 EB 81 42 3D 83 00 </t>
  </si>
  <si>
    <t xml:space="preserve">*RX(8) 01 00 32 12 83 49 8C 00 </t>
  </si>
  <si>
    <t xml:space="preserve"> RX(8) 01 00 42 3D 83 F5 8C 00 </t>
  </si>
  <si>
    <t xml:space="preserve"> RX(8) 02 00 37 89 3A 0B 69 05 </t>
  </si>
  <si>
    <t xml:space="preserve">*RX(8) 02 00 3B 89 34 0B 04 33 </t>
  </si>
  <si>
    <t xml:space="preserve">*RX(8) 01 00 8C C5 88 16 A3 00 </t>
  </si>
  <si>
    <t xml:space="preserve"> RX(8) 01 00 0D C0 88 00 A3 00 </t>
  </si>
  <si>
    <t xml:space="preserve">*RX(8) 02 00 00 80 06 11 83 00 </t>
  </si>
  <si>
    <t xml:space="preserve"> RX(8) 02 00 F2 81 ED 3D 83 00 </t>
  </si>
  <si>
    <t xml:space="preserve"> RX(8) 01 00 06 11 83 44 8C 00 </t>
  </si>
  <si>
    <t xml:space="preserve">*RX(8) 01 00 ED 3D 83 F8 8C 00 </t>
  </si>
  <si>
    <t xml:space="preserve">*RX(8) 02 00 38 89 38 0B 92 06 </t>
  </si>
  <si>
    <t xml:space="preserve"> RX(8) 02 00 3B 89 35 0B C1 32 </t>
  </si>
  <si>
    <t xml:space="preserve"> RX(8) 01 00 C0 C4 88 13 A3 00 </t>
  </si>
  <si>
    <t xml:space="preserve">*RX(8) 01 00 B3 C1 88 07 A3 00 </t>
  </si>
  <si>
    <t xml:space="preserve"> RX(8) 02 00 00 80 1E 12 83 00 </t>
  </si>
  <si>
    <t xml:space="preserve">*RX(8) 02 00 F0 81 C0 3D 83 00 </t>
  </si>
  <si>
    <t xml:space="preserve">*RX(8) 01 00 1E 12 83 48 8C 00 </t>
  </si>
  <si>
    <t xml:space="preserve"> RX(8) 01 00 C0 3D 83 F7 8C 00 </t>
  </si>
  <si>
    <t xml:space="preserve"> RX(8) 11 00 56 A7 00 00 00 00 </t>
  </si>
  <si>
    <t xml:space="preserve">*RX(8) 11 00 56 A7 00 00 00 00 </t>
  </si>
  <si>
    <t>THIS IS NOT NECESSARILY WHAT IS USED IN THE PROGRAM! USED THIS AS A TEMPLATE TO GET AN IDEA!</t>
  </si>
  <si>
    <t>expected sequence Line #</t>
  </si>
  <si>
    <t>Receive Read EE page</t>
  </si>
  <si>
    <t>Request Read EE page</t>
  </si>
  <si>
    <t>RX(8) 11 00</t>
  </si>
  <si>
    <t>TX(8) 11 00</t>
  </si>
  <si>
    <t>TX(8) 09 00 00</t>
  </si>
  <si>
    <t>Receive Primary Status</t>
  </si>
  <si>
    <t>Request Primary Status</t>
  </si>
  <si>
    <t>RX(8) 09 1B</t>
  </si>
  <si>
    <t xml:space="preserve">RX(8) 02 00 30 89 43 0B 0D 04 </t>
  </si>
  <si>
    <t>signal #</t>
  </si>
  <si>
    <t>Rx_calc_temp Value1 (°C)</t>
  </si>
  <si>
    <t>Rx_calc_temp Value2 (°C)</t>
  </si>
  <si>
    <t>Rx_temp Value1 (uV)</t>
  </si>
  <si>
    <t>Rx_temp Value2 (uV)</t>
  </si>
  <si>
    <t>Rx_ch2 Value1 (uV)</t>
  </si>
  <si>
    <t>Rx_ch2 Value2 (uV)</t>
  </si>
  <si>
    <t>Rx_calc_ch1 Value1 (ppm)</t>
  </si>
  <si>
    <t>Rx_calc_ch1 Value2 (ppm)</t>
  </si>
  <si>
    <t>Rx_ch1 Value1 (uV)</t>
  </si>
  <si>
    <t>Rx_ch1 Value2 (uV)</t>
  </si>
  <si>
    <t>value1string</t>
  </si>
  <si>
    <t>value2string</t>
  </si>
  <si>
    <t>value1dec</t>
  </si>
  <si>
    <t>value2dec</t>
  </si>
  <si>
    <t xml:space="preserve"> RX(8) 02 00 30 89 43 0B 0D 04 </t>
  </si>
  <si>
    <t>0B43</t>
  </si>
  <si>
    <t>88CCA0</t>
  </si>
  <si>
    <t>A333</t>
  </si>
  <si>
    <t>8186A0</t>
  </si>
  <si>
    <t>861B</t>
  </si>
  <si>
    <t>0DA5</t>
  </si>
  <si>
    <t>83103F</t>
  </si>
  <si>
    <t>8C41</t>
  </si>
  <si>
    <t>892F</t>
  </si>
  <si>
    <t>0B44</t>
  </si>
  <si>
    <t>88CCB0</t>
  </si>
  <si>
    <t>0D62</t>
  </si>
  <si>
    <t>830FFC</t>
  </si>
  <si>
    <t>8C40</t>
  </si>
  <si>
    <t>0B22</t>
  </si>
  <si>
    <t>88B2EE</t>
  </si>
  <si>
    <t>A2CC</t>
  </si>
  <si>
    <t>0DEE</t>
  </si>
  <si>
    <t>8C42</t>
  </si>
  <si>
    <t>0B25</t>
  </si>
  <si>
    <t>88B426</t>
  </si>
  <si>
    <t>A2D1</t>
  </si>
  <si>
    <t>0E26</t>
  </si>
  <si>
    <t>8310C0</t>
  </si>
  <si>
    <t>8C43</t>
  </si>
  <si>
    <t>895B</t>
  </si>
  <si>
    <t>0B0C</t>
  </si>
  <si>
    <t>88A1B7</t>
  </si>
  <si>
    <t>A287</t>
  </si>
  <si>
    <t>0FC8</t>
  </si>
  <si>
    <t>8C4A</t>
  </si>
  <si>
    <t>0B0E</t>
  </si>
  <si>
    <t>88A2F0</t>
  </si>
  <si>
    <t>A28C</t>
  </si>
  <si>
    <t>1098</t>
  </si>
  <si>
    <t>8C4D</t>
  </si>
  <si>
    <t>0AEC</t>
  </si>
  <si>
    <t>A222</t>
  </si>
  <si>
    <t>805F</t>
  </si>
  <si>
    <t>8319D0</t>
  </si>
  <si>
    <t>8C67</t>
  </si>
  <si>
    <t>0AEE</t>
  </si>
  <si>
    <t>888A57</t>
  </si>
  <si>
    <t>A229</t>
  </si>
  <si>
    <t>805C</t>
  </si>
  <si>
    <t>1704</t>
  </si>
  <si>
    <t>83199D</t>
  </si>
  <si>
    <t>8C66</t>
  </si>
  <si>
    <t>0AD3</t>
  </si>
  <si>
    <t>A1D5</t>
  </si>
  <si>
    <t>81E1</t>
  </si>
  <si>
    <t>833BDC</t>
  </si>
  <si>
    <t>8CEF</t>
  </si>
  <si>
    <t>0AD4</t>
  </si>
  <si>
    <t>A1D6</t>
  </si>
  <si>
    <t>81E2</t>
  </si>
  <si>
    <t>3964</t>
  </si>
  <si>
    <t>833BF9</t>
  </si>
  <si>
    <t>8CF0</t>
  </si>
  <si>
    <t>The idea here is to take a crap ton of pictures on my phone at the same time, so that we can compare values</t>
  </si>
  <si>
    <t>This will be done after calibrating with the default calibration curve</t>
  </si>
  <si>
    <t>For sensor 16087040</t>
  </si>
  <si>
    <t xml:space="preserve">*RX(8) 11 00 00 78 F5 00 00 00 </t>
  </si>
  <si>
    <t xml:space="preserve"> RX(8) 11 00 00 78 F5 00 00 00 </t>
  </si>
  <si>
    <t xml:space="preserve">*RX(8) 02 00 5F 89 06 0B EA 2E </t>
  </si>
  <si>
    <t xml:space="preserve"> RX(8) 01 00 87 9C 88 72 A2 00 </t>
  </si>
  <si>
    <t xml:space="preserve"> RX(8) 02 00 2D 80 C8 50 83 00 </t>
  </si>
  <si>
    <t xml:space="preserve">*RX(8) 01 00 F7 37 83 E0 8C 00 </t>
  </si>
  <si>
    <t xml:space="preserve"> RX(8) 02 00 5F 89 06 0B A8 2D </t>
  </si>
  <si>
    <t xml:space="preserve">*RX(8) 01 00 87 9C 88 72 A2 00 </t>
  </si>
  <si>
    <t xml:space="preserve">*RX(8) 02 00 2A 80 69 50 83 00 </t>
  </si>
  <si>
    <t xml:space="preserve"> RX(8) 01 00 97 37 83 DE 8C 00 </t>
  </si>
  <si>
    <t xml:space="preserve">*RX(8) 02 00 5F 89 06 0B 66 2B </t>
  </si>
  <si>
    <t xml:space="preserve"> RX(8) 01 00 C6 9C 88 73 A2 00 </t>
  </si>
  <si>
    <t xml:space="preserve"> RX(8) 02 00 16 80 2C 4E 83 00 </t>
  </si>
  <si>
    <t xml:space="preserve">*RX(8) 01 00 58 35 83 D5 8C 00 </t>
  </si>
  <si>
    <t xml:space="preserve"> RX(8) 02 00 5F 89 06 0B 4A 2C </t>
  </si>
  <si>
    <t xml:space="preserve">*RX(8) 01 00 E5 9C 88 74 A2 00 </t>
  </si>
  <si>
    <t xml:space="preserve">*RX(8) 02 00 1E 80 0E 4F 83 00 </t>
  </si>
  <si>
    <t xml:space="preserve"> RX(8) 01 00 3B 36 83 D9 8C 00 </t>
  </si>
  <si>
    <t xml:space="preserve">*RX(8) 02 00 5F 89 06 0B 03 2E </t>
  </si>
  <si>
    <t xml:space="preserve"> RX(8) 02 00 2D 80 C2 50 83 00 </t>
  </si>
  <si>
    <t xml:space="preserve">*RX(8) 01 00 F1 37 83 E0 8C 00 </t>
  </si>
  <si>
    <t xml:space="preserve"> RX(8) 02 00 5F 89 06 0B 8B 2D </t>
  </si>
  <si>
    <t xml:space="preserve">*RX(8) 01 00 D5 9C 88 73 A2 00 </t>
  </si>
  <si>
    <t xml:space="preserve">*RX(8) 02 00 2A 80 4C 50 83 00 </t>
  </si>
  <si>
    <t xml:space="preserve"> RX(8) 01 00 7A 37 83 DE 8C 00 </t>
  </si>
  <si>
    <t xml:space="preserve">*RX(8) 02 00 5F 89 06 0B 59 2D </t>
  </si>
  <si>
    <t xml:space="preserve"> RX(8) 01 00 B6 9C 88 73 A2 00 </t>
  </si>
  <si>
    <t xml:space="preserve"> RX(8) 02 00 27 80 1A 50 83 00 </t>
  </si>
  <si>
    <t xml:space="preserve">*RX(8) 01 00 48 37 83 DD 8C 00 </t>
  </si>
  <si>
    <t xml:space="preserve"> RX(8) 02 00 5F 89 06 0B 63 2C </t>
  </si>
  <si>
    <t xml:space="preserve">*RX(8) 01 00 97 9C 88 72 A2 00 </t>
  </si>
  <si>
    <t xml:space="preserve">*RX(8) 02 00 1F 80 27 4F 83 00 </t>
  </si>
  <si>
    <t xml:space="preserve"> RX(8) 01 00 54 36 83 D9 8C 00 </t>
  </si>
  <si>
    <t xml:space="preserve">*RX(8) 02 00 5F 89 06 0B F6 2C </t>
  </si>
  <si>
    <t xml:space="preserve"> RX(8) 02 00 1F 80 1D 4F 83 00 </t>
  </si>
  <si>
    <t xml:space="preserve">*RX(8) 01 00 4A 36 83 D9 8C 00 </t>
  </si>
  <si>
    <t xml:space="preserve"> RX(8) 02 00 5E 89 07 0B 60 29 </t>
  </si>
  <si>
    <t xml:space="preserve">*RX(8) 01 00 04 9D 88 74 A2 00 </t>
  </si>
  <si>
    <t xml:space="preserve">*RX(8) 02 00 05 80 45 4C 83 00 </t>
  </si>
  <si>
    <t xml:space="preserve"> RX(8) 01 00 6F 33 83 CE 8C 00 </t>
  </si>
  <si>
    <t xml:space="preserve">*RX(8) 02 00 5E 89 07 0B 3B 2A </t>
  </si>
  <si>
    <t xml:space="preserve"> RX(8) 01 00 52 9D 88 75 A2 00 </t>
  </si>
  <si>
    <t xml:space="preserve"> RX(8) 02 00 0D 80 1E 4D 83 00 </t>
  </si>
  <si>
    <t xml:space="preserve">*RX(8) 01 00 49 34 83 D1 8C 00 </t>
  </si>
  <si>
    <t xml:space="preserve"> RX(8) 02 00 5E 89 07 0B 14 27 </t>
  </si>
  <si>
    <t xml:space="preserve">*RX(8) 01 00 A1 9D 88 77 A2 00 </t>
  </si>
  <si>
    <t xml:space="preserve">*RX(8) 02 00 00 80 00 4A 83 00 </t>
  </si>
  <si>
    <t xml:space="preserve"> RX(8) 01 00 27 31 83 C5 8C 00 </t>
  </si>
  <si>
    <t xml:space="preserve">*RX(8) 02 00 5E 89 07 0B 33 25 </t>
  </si>
  <si>
    <t xml:space="preserve"> RX(8) 01 00 1E 9E 88 78 A2 00 </t>
  </si>
  <si>
    <t xml:space="preserve"> RX(8) 02 00 00 80 24 48 83 00 </t>
  </si>
  <si>
    <t xml:space="preserve">*RX(8) 01 00 49 2F 83 BD 8C 00 </t>
  </si>
  <si>
    <t xml:space="preserve"> RX(8) 02 00 5E 89 08 0B 60 27 </t>
  </si>
  <si>
    <t xml:space="preserve">*RX(8) 01 00 CA 9E 88 7B A2 00 </t>
  </si>
  <si>
    <t xml:space="preserve">*RX(8) 02 00 05 80 47 4C 83 00 </t>
  </si>
  <si>
    <t xml:space="preserve"> RX(8) 01 00 8B 31 83 C6 8C 00 </t>
  </si>
  <si>
    <t xml:space="preserve">*RX(8) 02 00 5D 89 09 0B 84 2A </t>
  </si>
  <si>
    <t xml:space="preserve"> RX(8) 01 00 18 9F 88 7C A2 00 </t>
  </si>
  <si>
    <t xml:space="preserve"> RX(8) 02 00 10 80 7E 4D 83 00 </t>
  </si>
  <si>
    <t xml:space="preserve">*RX(8) 01 00 A9 34 83 D3 8C 00 </t>
  </si>
  <si>
    <t xml:space="preserve">*RX(8) 11 00 90 01 FF FF 00 00 </t>
  </si>
  <si>
    <t xml:space="preserve"> RX(8) 11 00 7A A6 00 00 00 00 </t>
  </si>
  <si>
    <t xml:space="preserve">*RX(8) 02 00 7C 89 E3 0A 1D 5D </t>
  </si>
  <si>
    <t xml:space="preserve"> RX(8) 01 00 9D 81 88 06 A2 00 </t>
  </si>
  <si>
    <t xml:space="preserve"> RX(8) 02 00 B6 81 EA 7A 83 00 </t>
  </si>
  <si>
    <t xml:space="preserve">*RX(8) 01 00 4A 62 83 89 8D 00 </t>
  </si>
  <si>
    <t xml:space="preserve"> RX(8) 02 00 7B 89 E4 0A 6D 5C </t>
  </si>
  <si>
    <t xml:space="preserve">*RX(8) 01 00 EB 81 88 08 A2 00 </t>
  </si>
  <si>
    <t xml:space="preserve">*RX(8) 02 00 C4 81 04 7C 83 00 </t>
  </si>
  <si>
    <t xml:space="preserve"> RX(8) 01 00 65 63 83 8E 8D 00 </t>
  </si>
  <si>
    <t xml:space="preserve">*RX(8) 02 00 7A 89 E5 0A 93 5C </t>
  </si>
  <si>
    <t xml:space="preserve"> RX(8) 01 00 C6 82 88 0B A2 00 </t>
  </si>
  <si>
    <t xml:space="preserve"> RX(8) 02 00 C7 81 42 7C 83 00 </t>
  </si>
  <si>
    <t xml:space="preserve">*RX(8) 01 00 A4 63 83 8F 8D 00 </t>
  </si>
  <si>
    <t xml:space="preserve"> RX(8) 02 00 7A 89 E6 0A 85 5C </t>
  </si>
  <si>
    <t xml:space="preserve">*RX(8) 01 00 81 83 88 0E A2 00 </t>
  </si>
  <si>
    <t xml:space="preserve">*RX(8) 02 00 C5 81 34 7C 83 00 </t>
  </si>
  <si>
    <t xml:space="preserve"> RX(8) 01 00 96 63 83 8E 8D 00 </t>
  </si>
  <si>
    <t xml:space="preserve">*RX(8) 02 00 79 89 E7 0A 40 5D </t>
  </si>
  <si>
    <t xml:space="preserve"> RX(8) 01 00 4C 84 88 11 A2 00 </t>
  </si>
  <si>
    <t xml:space="preserve"> RX(8) 02 00 D0 81 1E 7D 83 00 </t>
  </si>
  <si>
    <t xml:space="preserve">*RX(8) 01 00 81 64 83 92 8D 00 </t>
  </si>
  <si>
    <t xml:space="preserve"> RX(8) 02 00 78 89 E8 0A 46 5C </t>
  </si>
  <si>
    <t xml:space="preserve">*RX(8) 02 00 C5 81 26 7C 83 00 </t>
  </si>
  <si>
    <t xml:space="preserve"> RX(8) 01 00 88 63 83 8E 8D 00 </t>
  </si>
  <si>
    <t xml:space="preserve">*RX(8) 02 00 78 89 E8 0A C7 5C </t>
  </si>
  <si>
    <t xml:space="preserve"> RX(8) 01 00 D3 85 88 17 A2 00 </t>
  </si>
  <si>
    <t xml:space="preserve"> RX(8) 02 00 CB 81 BE 7C 83 00 </t>
  </si>
  <si>
    <t xml:space="preserve">*RX(8) 01 00 20 64 83 91 8D 00 </t>
  </si>
  <si>
    <t xml:space="preserve"> RX(8) 02 00 77 89 E9 0A FC 5B </t>
  </si>
  <si>
    <t xml:space="preserve">*RX(8) 01 00 31 86 88 19 A2 00 </t>
  </si>
  <si>
    <t xml:space="preserve">*RX(8) 02 00 C2 81 F5 7B 83 00 </t>
  </si>
  <si>
    <t xml:space="preserve"> RX(8) 01 00 56 63 83 8D 8D 00 </t>
  </si>
  <si>
    <t xml:space="preserve">*RX(8) 02 00 76 89 EA 0A 43 5B </t>
  </si>
  <si>
    <t xml:space="preserve"> RX(8) 01 00 BD 86 88 1B A2 00 </t>
  </si>
  <si>
    <t xml:space="preserve"> RX(8) 02 00 BC 81 6E 7B 83 00 </t>
  </si>
  <si>
    <t xml:space="preserve">*RX(8) 01 00 CF 62 83 8B 8D 00 </t>
  </si>
  <si>
    <t xml:space="preserve"> RX(8) 02 00 75 89 EB 0A BE 5C </t>
  </si>
  <si>
    <t xml:space="preserve">*RX(8) 01 00 69 87 88 1E A2 00 </t>
  </si>
  <si>
    <t xml:space="preserve">*RX(8) 02 00 CF 81 E6 7C 83 00 </t>
  </si>
  <si>
    <t xml:space="preserve"> RX(8) 01 00 48 64 83 91 8D 00 </t>
  </si>
  <si>
    <t xml:space="preserve">*RX(8) 02 00 75 89 EC 0A 5E 5C </t>
  </si>
  <si>
    <t xml:space="preserve"> RX(8) 01 00 54 88 88 21 A2 00 </t>
  </si>
  <si>
    <t xml:space="preserve"> RX(8) 02 00 CA 81 87 7C 83 00 </t>
  </si>
  <si>
    <t xml:space="preserve">*RX(8) 01 00 E9 63 83 90 8D 00 </t>
  </si>
  <si>
    <t xml:space="preserve"> RX(8) 02 00 75 89 EC 0A 84 5B </t>
  </si>
  <si>
    <t xml:space="preserve">*RX(8) 01 00 B1 88 88 23 A2 00 </t>
  </si>
  <si>
    <t xml:space="preserve">*RX(8) 02 00 C0 81 C7 7B 83 00 </t>
  </si>
  <si>
    <t xml:space="preserve"> RX(8) 01 00 28 63 83 8D 8D 00 </t>
  </si>
  <si>
    <t xml:space="preserve">*RX(8) 02 00 74 89 ED 0A 8B 5C </t>
  </si>
  <si>
    <t xml:space="preserve"> RX(8) 01 00 1F 89 88 24 A2 00 </t>
  </si>
  <si>
    <t xml:space="preserve"> RX(8) 02 00 CD 81 CC 7C 83 00 </t>
  </si>
  <si>
    <t xml:space="preserve">*RX(8) 01 00 2E 64 83 91 8D 00 </t>
  </si>
  <si>
    <t xml:space="preserve"> RX(8) 02 00 73 89 EE 0A E5 5B </t>
  </si>
  <si>
    <t xml:space="preserve">*RX(8) 01 00 BB 89 88 27 A2 00 </t>
  </si>
  <si>
    <t xml:space="preserve">*RX(8) 02 00 C7 81 57 7C 83 00 </t>
  </si>
  <si>
    <t xml:space="preserve"> RX(8) 01 00 B9 63 83 8F 8D 00 </t>
  </si>
  <si>
    <t xml:space="preserve">*RX(8) 02 00 72 89 EF 0A BB 5C </t>
  </si>
  <si>
    <t xml:space="preserve"> RX(8) 01 00 B5 8A 88 2B A2 00 </t>
  </si>
  <si>
    <t xml:space="preserve"> RX(8) 02 00 D2 81 43 7D 83 00 </t>
  </si>
  <si>
    <t xml:space="preserve">*RX(8) 01 00 A6 64 83 93 8D 00 </t>
  </si>
  <si>
    <t xml:space="preserve"> RX(8) 02 00 71 89 F0 0A EB 5B </t>
  </si>
  <si>
    <t xml:space="preserve">*RX(8) 01 00 0C 8C 88 30 A2 00 </t>
  </si>
  <si>
    <t xml:space="preserve">*RX(8) 02 00 C8 81 75 7C 83 00 </t>
  </si>
  <si>
    <t xml:space="preserve"> RX(8) 01 00 D7 63 83 8F 8D 00 </t>
  </si>
  <si>
    <t xml:space="preserve"> RX(8) 11 00 90 01 FF FF 00 00 </t>
  </si>
  <si>
    <t xml:space="preserve">*RX(8) 11 00 7A A6 00 00 00 00 </t>
  </si>
  <si>
    <t>this is during warmup</t>
  </si>
  <si>
    <t xml:space="preserve">*RX(8) 02 00 5B 89 0C 0B E3 29 </t>
  </si>
  <si>
    <t xml:space="preserve"> RX(8) 01 00 69 A1 88 86 A2 00 </t>
  </si>
  <si>
    <t xml:space="preserve"> RX(8) 02 00 00 80 3C 34 83 00 </t>
  </si>
  <si>
    <t xml:space="preserve">*RX(8) 01 00 3C 34 83 D1 8C 00 </t>
  </si>
  <si>
    <t xml:space="preserve"> RX(8) 09 1B 08 09 04 00 17 00 </t>
  </si>
  <si>
    <t xml:space="preserve"> RX(8) 02 00 5A 89 0D 0B 5F 2A </t>
  </si>
  <si>
    <t xml:space="preserve">*RX(8) 01 00 05 A2 88 88 A2 00 </t>
  </si>
  <si>
    <t xml:space="preserve">*RX(8) 02 00 00 80 D0 34 83 00 </t>
  </si>
  <si>
    <t xml:space="preserve"> RX(8) 01 00 D0 34 83 D3 8C 00 </t>
  </si>
  <si>
    <t xml:space="preserve">*RX(8) 09 1B 08 09 04 00 17 00 </t>
  </si>
  <si>
    <t xml:space="preserve">*RX(8) 02 00 5A 89 0D 0B C3 29 </t>
  </si>
  <si>
    <t xml:space="preserve"> RX(8) 01 00 44 A2 88 89 A2 00 </t>
  </si>
  <si>
    <t xml:space="preserve"> RX(8) 02 00 00 80 35 34 83 00 </t>
  </si>
  <si>
    <t xml:space="preserve">*RX(8) 01 00 35 34 83 D1 8C 00 </t>
  </si>
  <si>
    <t xml:space="preserve"> RX(8) 02 00 5A 89 0D 0B 4E 2A </t>
  </si>
  <si>
    <t xml:space="preserve">*RX(8) 01 00 F6 A1 88 88 A2 00 </t>
  </si>
  <si>
    <t xml:space="preserve">*RX(8) 02 00 00 80 A7 34 83 00 </t>
  </si>
  <si>
    <t xml:space="preserve"> RX(8) 01 00 A7 34 83 D3 8C 00 </t>
  </si>
  <si>
    <t xml:space="preserve">*RX(8) 02 00 5B 89 0C 0B 2B 29 </t>
  </si>
  <si>
    <t xml:space="preserve"> RX(8) 01 00 89 A1 88 86 A2 00 </t>
  </si>
  <si>
    <t xml:space="preserve"> RX(8) 02 00 00 80 86 33 83 00 </t>
  </si>
  <si>
    <t xml:space="preserve">*RX(8) 01 00 86 33 83 CE 8C 00 </t>
  </si>
  <si>
    <t xml:space="preserve"> RX(8) 02 00 5B 89 0C 0B 09 2B </t>
  </si>
  <si>
    <t xml:space="preserve">*RX(8) 02 00 00 80 60 35 83 00 </t>
  </si>
  <si>
    <t xml:space="preserve"> RX(8) 01 00 60 35 83 D6 8C 00 </t>
  </si>
  <si>
    <t xml:space="preserve">*RX(8) 02 00 5B 89 0C 0B 63 2A </t>
  </si>
  <si>
    <t xml:space="preserve"> RX(8) 01 00 5A A1 88 85 A2 00 </t>
  </si>
  <si>
    <t xml:space="preserve"> RX(8) 02 00 00 80 BC 34 83 00 </t>
  </si>
  <si>
    <t xml:space="preserve">*RX(8) 01 00 BC 34 83 D3 8C 00 </t>
  </si>
  <si>
    <t xml:space="preserve"> RX(8) 02 00 5B 89 0C 0B 3B 2A </t>
  </si>
  <si>
    <t xml:space="preserve">*RX(8) 01 00 79 A1 88 86 A2 00 </t>
  </si>
  <si>
    <t xml:space="preserve">*RX(8) 02 00 00 80 94 34 83 00 </t>
  </si>
  <si>
    <t xml:space="preserve"> RX(8) 01 00 94 34 83 D2 8C 00 </t>
  </si>
  <si>
    <t xml:space="preserve">*RX(8) 02 00 5B 89 0C 0B F1 28 </t>
  </si>
  <si>
    <t xml:space="preserve"> RX(8) 01 00 4A A1 88 85 A2 00 </t>
  </si>
  <si>
    <t xml:space="preserve"> RX(8) 02 00 00 80 4C 33 83 00 </t>
  </si>
  <si>
    <t xml:space="preserve">*RX(8) 01 00 4C 33 83 CD 8C 00 </t>
  </si>
  <si>
    <t xml:space="preserve"> RX(8) 02 00 5B 89 0C 0B E7 29 </t>
  </si>
  <si>
    <t xml:space="preserve">*RX(8) 01 00 2B A1 88 85 A2 00 </t>
  </si>
  <si>
    <t xml:space="preserve">*RX(8) 02 00 00 80 40 34 83 00 </t>
  </si>
  <si>
    <t xml:space="preserve"> RX(8) 01 00 40 34 83 D1 8C 00 </t>
  </si>
  <si>
    <t>this is command for look at ohms</t>
  </si>
  <si>
    <t xml:space="preserve"> RX(8) 02 00 5D 89 09 0B A4 2B </t>
  </si>
  <si>
    <t xml:space="preserve"> RX(8) 02 00 5C 89 0A 0B DD 2B </t>
  </si>
  <si>
    <t xml:space="preserve">*RX(8) 01 00 66 9F 88 7E A2 00 </t>
  </si>
  <si>
    <t xml:space="preserve"> RX(8) 02 00 5C 89 0A 0B 13 2C </t>
  </si>
  <si>
    <t xml:space="preserve">*RX(8) 01 00 02 A0 88 80 A2 00 </t>
  </si>
  <si>
    <t xml:space="preserve"> RX(8) 02 00 5B 89 0B 0B 3E 2B </t>
  </si>
  <si>
    <t xml:space="preserve">*RX(8) 01 00 8F A0 88 82 A2 00 </t>
  </si>
  <si>
    <t xml:space="preserve"> RX(8) 02 00 5B 89 0B 0B 46 2A </t>
  </si>
  <si>
    <t xml:space="preserve">*RX(8) 01 00 DD A0 88 83 A2 00 </t>
  </si>
  <si>
    <t xml:space="preserve"> RX(8) 02 00 5B 89 0B 0B A2 29 </t>
  </si>
  <si>
    <t xml:space="preserve">*RX(8) 01 00 CD A0 88 83 A2 00 </t>
  </si>
  <si>
    <t xml:space="preserve"> RX(8) 02 00 5B 89 0B 0B 22 29 </t>
  </si>
  <si>
    <t xml:space="preserve">*RX(8) 01 00 AE A0 88 83 A2 00 </t>
  </si>
  <si>
    <t xml:space="preserve"> TX(8) 11 00 25 01 00 00 00 00 </t>
  </si>
  <si>
    <t xml:space="preserve">*TX(8) 11 00 22 01 00 00 00 00 </t>
  </si>
  <si>
    <t xml:space="preserve"> RX(8) 02 00 5B 89 0C 0B F5 29 </t>
  </si>
  <si>
    <t xml:space="preserve">*RX(8) 01 00 5A A1 88 85 A2 00 </t>
  </si>
  <si>
    <t xml:space="preserve">*RX(8) 02 00 00 80 4E 34 83 00 </t>
  </si>
  <si>
    <t xml:space="preserve"> RX(8) 01 00 4E 34 83 D1 8C 00 </t>
  </si>
  <si>
    <t>notice I first opened and it read other stuff too</t>
  </si>
  <si>
    <t>read near end too</t>
  </si>
  <si>
    <t>during warmup,</t>
  </si>
  <si>
    <t xml:space="preserve"> output V and U updated</t>
  </si>
  <si>
    <t xml:space="preserve">*RX(8) 02 00 68 89 FB 0A EF 2D </t>
  </si>
  <si>
    <t xml:space="preserve"> RX(8) 01 00 1B 94 88 50 A2 00 </t>
  </si>
  <si>
    <t xml:space="preserve"> RX(8) 02 00 00 80 FC 36 83 00 </t>
  </si>
  <si>
    <t xml:space="preserve">*RX(8) 01 00 FC 36 83 DC 8C 00 </t>
  </si>
  <si>
    <t xml:space="preserve"> RX(8) 02 00 68 89 FB 0A 7E 2D </t>
  </si>
  <si>
    <t xml:space="preserve">*RX(8) 01 00 EC 93 88 50 A2 00 </t>
  </si>
  <si>
    <t xml:space="preserve">*RX(8) 02 00 00 80 75 34 83 00 </t>
  </si>
  <si>
    <t xml:space="preserve"> RX(8) 01 00 72 36 83 DA 8C 00 </t>
  </si>
  <si>
    <t xml:space="preserve">*RX(8) 02 00 69 89 FA 0A 3D 2C </t>
  </si>
  <si>
    <t xml:space="preserve"> RX(8) 01 00 CD 93 88 4F A2 00 </t>
  </si>
  <si>
    <t xml:space="preserve"> RX(8) 02 00 00 80 33 35 83 00 </t>
  </si>
  <si>
    <t xml:space="preserve">*RX(8) 01 00 33 35 83 D5 8C 00 </t>
  </si>
  <si>
    <t xml:space="preserve"> RX(8) 02 00 69 89 FA 0A C6 2D </t>
  </si>
  <si>
    <t xml:space="preserve">*RX(8) 01 00 7F 93 88 4E A2 00 </t>
  </si>
  <si>
    <t xml:space="preserve">*RX(8) 02 00 00 80 BA 36 83 00 </t>
  </si>
  <si>
    <t xml:space="preserve"> RX(8) 01 00 BA 36 83 DB 8C 00 </t>
  </si>
  <si>
    <t xml:space="preserve">*RX(8) 02 00 69 89 FA 0A 59 2D </t>
  </si>
  <si>
    <t xml:space="preserve"> RX(8) 01 00 31 93 88 4D A2 00 </t>
  </si>
  <si>
    <t xml:space="preserve"> RX(8) 02 00 00 80 4E 36 83 00 </t>
  </si>
  <si>
    <t xml:space="preserve">*RX(8) 01 00 4E 36 83 D9 8C 00 </t>
  </si>
  <si>
    <t xml:space="preserve"> RX(8) 02 00 6A 89 F9 0A B0 2D </t>
  </si>
  <si>
    <t xml:space="preserve">*RX(8) 01 00 11 93 88 4C A2 00 </t>
  </si>
  <si>
    <t xml:space="preserve">*RX(8) 02 00 00 80 A4 36 83 00 </t>
  </si>
  <si>
    <t xml:space="preserve"> RX(8) 01 00 A4 36 83 DB 8C 00 </t>
  </si>
  <si>
    <t xml:space="preserve">*RX(8) 02 00 69 89 FA 0A AD 2C </t>
  </si>
  <si>
    <t xml:space="preserve"> RX(8) 02 00 00 80 C7 34 83 00 </t>
  </si>
  <si>
    <t xml:space="preserve">*RX(8) 01 00 C7 34 83 D3 8C 00 </t>
  </si>
  <si>
    <t xml:space="preserve"> RX(8) 02 00 69 89 FA 0A 26 2C </t>
  </si>
  <si>
    <t xml:space="preserve">*RX(8) 01 00 6F 93 88 4E A2 00 </t>
  </si>
  <si>
    <t xml:space="preserve">*RX(8) 02 00 00 80 1C 35 83 00 </t>
  </si>
  <si>
    <t xml:space="preserve"> RX(8) 01 00 1C 35 83 D4 8C 00 </t>
  </si>
  <si>
    <t xml:space="preserve">*RX(8) 02 00 69 89 FA 0A 13 2D </t>
  </si>
  <si>
    <t xml:space="preserve"> RX(8) 02 00 00 80 08 36 83 00 </t>
  </si>
  <si>
    <t xml:space="preserve">*RX(8) 01 00 08 36 83 D8 8C 00 </t>
  </si>
  <si>
    <t xml:space="preserve"> RX(8) 02 00 69 89 FA 0A 87 2C </t>
  </si>
  <si>
    <t xml:space="preserve">*RX(8) 01 00 DD 93 88 4F A2 00 </t>
  </si>
  <si>
    <t xml:space="preserve">*RX(8) 02 00 00 80 96 35 83 00 </t>
  </si>
  <si>
    <t xml:space="preserve"> RX(8) 01 00 96 35 83 D6 8C 00 </t>
  </si>
  <si>
    <t xml:space="preserve">*RX(8) 02 00 68 89 FB 0A E8 2C </t>
  </si>
  <si>
    <t xml:space="preserve"> RX(8) 01 00 FC 93 88 50 A2 00 </t>
  </si>
  <si>
    <t xml:space="preserve"> RX(8) 02 00 00 80 F6 35 83 00 </t>
  </si>
  <si>
    <t xml:space="preserve">*RX(8) 01 00 F6 35 83 D8 8C 00 </t>
  </si>
  <si>
    <t>hyphothetical calibration</t>
  </si>
  <si>
    <t xml:space="preserve"> RX(8) 11 00 38 22 8D 00 00 00 </t>
  </si>
  <si>
    <t xml:space="preserve"> TX(8) 11 00 FF 03 00 00 00 00 </t>
  </si>
  <si>
    <t xml:space="preserve">*RX(8) 13 00 FF 03 38 22 8D 00 </t>
  </si>
  <si>
    <t xml:space="preserve">*TX(8) 13 00 FF 03 38 22 8D 00 </t>
  </si>
  <si>
    <t xml:space="preserve"> RX(8) 11 00 36 1E 8D 00 00 00 </t>
  </si>
  <si>
    <t xml:space="preserve"> TX(8) 11 00 FE 03 00 00 00 00 </t>
  </si>
  <si>
    <t xml:space="preserve">*RX(8) 13 00 FE 03 36 1E 8D 00 </t>
  </si>
  <si>
    <t xml:space="preserve">*TX(8) 13 00 FE 03 36 1E 8D 00 </t>
  </si>
  <si>
    <t xml:space="preserve"> RX(8) 11 00 2F 1A 8D 00 00 00 </t>
  </si>
  <si>
    <t xml:space="preserve"> TX(8) 11 00 FD 03 00 00 00 00 </t>
  </si>
  <si>
    <t xml:space="preserve">*RX(8) 13 00 FD 03 2F 1A 8D 00 </t>
  </si>
  <si>
    <t xml:space="preserve">*TX(8) 13 00 FD 03 2F 1A 8D 00 </t>
  </si>
  <si>
    <t xml:space="preserve"> RX(8) 11 00 22 16 8D 00 00 00 </t>
  </si>
  <si>
    <t xml:space="preserve"> TX(8) 11 00 FC 03 00 00 00 00 </t>
  </si>
  <si>
    <t xml:space="preserve">*RX(8) 13 00 FC 03 22 16 8D 00 </t>
  </si>
  <si>
    <t xml:space="preserve">*TX(8) 13 00 FC 03 22 16 8D 00 </t>
  </si>
  <si>
    <t xml:space="preserve"> RX(8) 11 00 10 12 8D 00 00 00 </t>
  </si>
  <si>
    <t xml:space="preserve"> TX(8) 11 00 FB 03 00 00 00 00 </t>
  </si>
  <si>
    <t xml:space="preserve">*RX(8) 13 00 FB 03 10 12 8D 00 </t>
  </si>
  <si>
    <t xml:space="preserve">*TX(8) 13 00 FB 03 10 12 8D 00 </t>
  </si>
  <si>
    <t xml:space="preserve"> RX(8) 11 00 F7 0D 8D 00 00 00 </t>
  </si>
  <si>
    <t xml:space="preserve"> TX(8) 11 00 FA 03 00 00 00 00 </t>
  </si>
  <si>
    <t xml:space="preserve">*RX(8) 13 00 FA 03 F7 0D 8D 00 </t>
  </si>
  <si>
    <t xml:space="preserve">*TX(8) 13 00 FA 03 F7 0D 8D 00 </t>
  </si>
  <si>
    <t xml:space="preserve"> RX(8) 11 00 D9 09 8D 00 00 00 </t>
  </si>
  <si>
    <t xml:space="preserve"> TX(8) 11 00 F9 03 00 00 00 00 </t>
  </si>
  <si>
    <t xml:space="preserve">*RX(8) 13 00 F9 03 D9 09 8D 00 </t>
  </si>
  <si>
    <t xml:space="preserve">*TX(8) 13 00 F9 03 D9 09 8D 00 </t>
  </si>
  <si>
    <t xml:space="preserve"> RX(8) 11 00 B5 05 8D 00 00 00 </t>
  </si>
  <si>
    <t xml:space="preserve"> TX(8) 11 00 F8 03 00 00 00 00 </t>
  </si>
  <si>
    <t xml:space="preserve">*RX(8) 13 00 F8 03 B5 05 8D 00 </t>
  </si>
  <si>
    <t xml:space="preserve">*TX(8) 13 00 F8 03 B5 05 8D 00 </t>
  </si>
  <si>
    <t xml:space="preserve"> RX(8) 11 00 8B 01 8D 00 00 00 </t>
  </si>
  <si>
    <t xml:space="preserve"> TX(8) 11 00 F7 03 00 00 00 00 </t>
  </si>
  <si>
    <t xml:space="preserve">*RX(8) 13 00 F7 03 8B 01 8D 00 </t>
  </si>
  <si>
    <t xml:space="preserve">*TX(8) 13 00 F7 03 8B 01 8D 00 </t>
  </si>
  <si>
    <t xml:space="preserve"> RX(8) 11 00 5B FD 8C 00 00 00 </t>
  </si>
  <si>
    <t xml:space="preserve"> TX(8) 11 00 F6 03 00 00 00 00 </t>
  </si>
  <si>
    <t xml:space="preserve">*RX(8) 13 00 F6 03 5B FD 8C 00 </t>
  </si>
  <si>
    <t xml:space="preserve">*TX(8) 13 00 F6 03 5B FD 8C 00 </t>
  </si>
  <si>
    <t xml:space="preserve"> RX(8) 11 00 25 F9 8C 00 00 00 </t>
  </si>
  <si>
    <t xml:space="preserve"> TX(8) 11 00 F5 03 00 00 00 00 </t>
  </si>
  <si>
    <t xml:space="preserve">*RX(8) 13 00 F5 03 25 F9 8C 00 </t>
  </si>
  <si>
    <t xml:space="preserve">*TX(8) 13 00 F5 03 25 F9 8C 00 </t>
  </si>
  <si>
    <t xml:space="preserve"> RX(8) 11 00 E9 F4 8C 00 00 00 </t>
  </si>
  <si>
    <t xml:space="preserve"> TX(8) 11 00 F4 03 00 00 00 00 </t>
  </si>
  <si>
    <t xml:space="preserve">*RX(8) 13 00 F4 03 E9 F4 8C 00 </t>
  </si>
  <si>
    <t xml:space="preserve">*TX(8) 13 00 F4 03 E9 F4 8C 00 </t>
  </si>
  <si>
    <t xml:space="preserve"> RX(8) 11 00 A7 F0 8C 00 00 00 </t>
  </si>
  <si>
    <t xml:space="preserve"> TX(8) 11 00 F3 03 00 00 00 00 </t>
  </si>
  <si>
    <t xml:space="preserve">*RX(8) 13 00 F3 03 A7 F0 8C 00 </t>
  </si>
  <si>
    <t xml:space="preserve">*TX(8) 13 00 F3 03 A7 F0 8C 00 </t>
  </si>
  <si>
    <t xml:space="preserve"> RX(8) 11 00 5F EC 8C 00 00 00 </t>
  </si>
  <si>
    <t xml:space="preserve"> TX(8) 11 00 F2 03 00 00 00 00 </t>
  </si>
  <si>
    <t xml:space="preserve">*RX(8) 13 00 F2 03 5F EC 8C 00 </t>
  </si>
  <si>
    <t xml:space="preserve">*TX(8) 13 00 F2 03 5F EC 8C 00 </t>
  </si>
  <si>
    <t xml:space="preserve"> RX(8) 11 00 12 E8 8C 00 00 00 </t>
  </si>
  <si>
    <t xml:space="preserve"> TX(8) 11 00 F1 03 00 00 00 00 </t>
  </si>
  <si>
    <t xml:space="preserve">*RX(8) 13 00 F1 03 12 E8 8C 00 </t>
  </si>
  <si>
    <t xml:space="preserve">*TX(8) 13 00 F1 03 12 E8 8C 00 </t>
  </si>
  <si>
    <t xml:space="preserve"> RX(8) 11 00 BE E3 8C 00 00 00 </t>
  </si>
  <si>
    <t xml:space="preserve"> TX(8) 11 00 F0 03 00 00 00 00 </t>
  </si>
  <si>
    <t xml:space="preserve">*RX(8) 13 00 F0 03 BE E3 8C 00 </t>
  </si>
  <si>
    <t xml:space="preserve">*TX(8) 13 00 F0 03 BE E3 8C 00 </t>
  </si>
  <si>
    <t xml:space="preserve"> RX(8) 11 00 64 DF 8C 00 00 00 </t>
  </si>
  <si>
    <t xml:space="preserve"> TX(8) 11 00 EF 03 00 00 00 00 </t>
  </si>
  <si>
    <t xml:space="preserve">*RX(8) 13 00 EF 03 64 DF 8C 00 </t>
  </si>
  <si>
    <t xml:space="preserve">*TX(8) 13 00 EF 03 64 DF 8C 00 </t>
  </si>
  <si>
    <t xml:space="preserve"> RX(8) 11 00 03 DB 8C 00 00 00 </t>
  </si>
  <si>
    <t xml:space="preserve"> TX(8) 11 00 EE 03 00 00 00 00 </t>
  </si>
  <si>
    <t xml:space="preserve">*RX(8) 13 00 EE 03 03 DB 8C 00 </t>
  </si>
  <si>
    <t xml:space="preserve">*TX(8) 13 00 EE 03 03 DB 8C 00 </t>
  </si>
  <si>
    <t xml:space="preserve"> RX(8) 11 00 9D D6 8C 00 00 00 </t>
  </si>
  <si>
    <t xml:space="preserve"> TX(8) 11 00 ED 03 00 00 00 00 </t>
  </si>
  <si>
    <t xml:space="preserve">*RX(8) 13 00 ED 03 9D D6 8C 00 </t>
  </si>
  <si>
    <t xml:space="preserve">*TX(8) 13 00 ED 03 9D D6 8C 00 </t>
  </si>
  <si>
    <t xml:space="preserve"> RX(8) 11 00 31 D2 8C 00 00 00 </t>
  </si>
  <si>
    <t xml:space="preserve"> TX(8) 11 00 EC 03 00 00 00 00 </t>
  </si>
  <si>
    <t xml:space="preserve">*RX(8) 13 00 EC 03 31 D2 8C 00 </t>
  </si>
  <si>
    <t xml:space="preserve">*TX(8) 13 00 EC 03 31 D2 8C 00 </t>
  </si>
  <si>
    <t xml:space="preserve"> RX(8) 11 00 BE CD 8C 00 00 00 </t>
  </si>
  <si>
    <t xml:space="preserve"> TX(8) 11 00 EB 03 00 00 00 00 </t>
  </si>
  <si>
    <t xml:space="preserve">*RX(8) 13 00 EB 03 BE CD 8C 00 </t>
  </si>
  <si>
    <t xml:space="preserve">*TX(8) 13 00 EB 03 BE CD 8C 00 </t>
  </si>
  <si>
    <t xml:space="preserve"> RX(8) 11 00 45 C9 8C 00 00 00 </t>
  </si>
  <si>
    <t xml:space="preserve"> TX(8) 11 00 EA 03 00 00 00 00 </t>
  </si>
  <si>
    <t xml:space="preserve">*RX(8) 13 00 EA 03 45 C9 8C 00 </t>
  </si>
  <si>
    <t xml:space="preserve">*TX(8) 13 00 EA 03 45 C9 8C 00 </t>
  </si>
  <si>
    <t xml:space="preserve"> RX(8) 11 00 C5 C4 8C 00 00 00 </t>
  </si>
  <si>
    <t xml:space="preserve"> TX(8) 11 00 E9 03 00 00 00 00 </t>
  </si>
  <si>
    <t xml:space="preserve">*RX(8) 13 00 E9 03 C5 C4 8C 00 </t>
  </si>
  <si>
    <t xml:space="preserve">*TX(8) 13 00 E9 03 C5 C4 8C 00 </t>
  </si>
  <si>
    <t xml:space="preserve"> RX(8) 11 00 40 C0 8C 00 00 00 </t>
  </si>
  <si>
    <t xml:space="preserve"> TX(8) 11 00 E8 03 00 00 00 00 </t>
  </si>
  <si>
    <t xml:space="preserve">*RX(8) 13 00 E8 03 40 C0 8C 00 </t>
  </si>
  <si>
    <t xml:space="preserve">*TX(8) 13 00 E8 03 40 C0 8C 00 </t>
  </si>
  <si>
    <t xml:space="preserve"> RX(8) 11 00 B4 BB 8C 00 00 00 </t>
  </si>
  <si>
    <t xml:space="preserve"> TX(8) 11 00 E7 03 00 00 00 00 </t>
  </si>
  <si>
    <t xml:space="preserve">*RX(8) 13 00 E7 03 B4 BB 8C 00 </t>
  </si>
  <si>
    <t xml:space="preserve">*TX(8) 13 00 E7 03 B4 BB 8C 00 </t>
  </si>
  <si>
    <t xml:space="preserve"> RX(8) 11 00 21 B7 8C 00 00 00 </t>
  </si>
  <si>
    <t xml:space="preserve"> TX(8) 11 00 E6 03 00 00 00 00 </t>
  </si>
  <si>
    <t xml:space="preserve">*RX(8) 13 00 E6 03 21 B7 8C 00 </t>
  </si>
  <si>
    <t xml:space="preserve">*TX(8) 13 00 E6 03 21 B7 8C 00 </t>
  </si>
  <si>
    <t xml:space="preserve"> RX(8) 11 00 88 B2 8C 00 00 00 </t>
  </si>
  <si>
    <t xml:space="preserve"> TX(8) 11 00 E5 03 00 00 00 00 </t>
  </si>
  <si>
    <t xml:space="preserve">*RX(8) 13 00 E5 03 88 B2 8C 00 </t>
  </si>
  <si>
    <t xml:space="preserve">*TX(8) 13 00 E5 03 88 B2 8C 00 </t>
  </si>
  <si>
    <t xml:space="preserve"> RX(8) 11 00 E9 AD 8C 00 00 00 </t>
  </si>
  <si>
    <t xml:space="preserve"> TX(8) 11 00 E4 03 00 00 00 00 </t>
  </si>
  <si>
    <t xml:space="preserve">*RX(8) 13 00 E4 03 E9 AD 8C 00 </t>
  </si>
  <si>
    <t xml:space="preserve">*TX(8) 13 00 E4 03 E9 AD 8C 00 </t>
  </si>
  <si>
    <t xml:space="preserve"> RX(8) 11 00 43 A9 8C 00 00 00 </t>
  </si>
  <si>
    <t xml:space="preserve"> TX(8) 11 00 E3 03 00 00 00 00 </t>
  </si>
  <si>
    <t xml:space="preserve">*RX(8) 13 00 E3 03 43 A9 8C 00 </t>
  </si>
  <si>
    <t xml:space="preserve">*TX(8) 13 00 E3 03 43 A9 8C 00 </t>
  </si>
  <si>
    <t xml:space="preserve"> RX(8) 11 00 97 A4 8C 00 00 00 </t>
  </si>
  <si>
    <t xml:space="preserve"> TX(8) 11 00 E2 03 00 00 00 00 </t>
  </si>
  <si>
    <t xml:space="preserve">*RX(8) 13 00 E2 03 97 A4 8C 00 </t>
  </si>
  <si>
    <t xml:space="preserve">*TX(8) 13 00 E2 03 97 A4 8C 00 </t>
  </si>
  <si>
    <t xml:space="preserve"> RX(8) 11 00 E4 9F 8C 00 00 00 </t>
  </si>
  <si>
    <t xml:space="preserve"> TX(8) 11 00 E1 03 00 00 00 00 </t>
  </si>
  <si>
    <t xml:space="preserve">*RX(8) 13 00 E1 03 E4 9F 8C 00 </t>
  </si>
  <si>
    <t xml:space="preserve">*TX(8) 13 00 E1 03 E4 9F 8C 00 </t>
  </si>
  <si>
    <t xml:space="preserve"> RX(8) 11 00 2A 9B 8C 00 00 00 </t>
  </si>
  <si>
    <t xml:space="preserve"> TX(8) 11 00 E0 03 00 00 00 00 </t>
  </si>
  <si>
    <t xml:space="preserve">*RX(8) 13 00 E0 03 2A 9B 8C 00 </t>
  </si>
  <si>
    <t xml:space="preserve">*TX(8) 13 00 E0 03 2A 9B 8C 00 </t>
  </si>
  <si>
    <t xml:space="preserve"> RX(8) 11 00 6A 96 8C 00 00 00 </t>
  </si>
  <si>
    <t xml:space="preserve"> TX(8) 11 00 DF 03 00 00 00 00 </t>
  </si>
  <si>
    <t xml:space="preserve">*RX(8) 13 00 DF 03 6A 96 8C 00 </t>
  </si>
  <si>
    <t xml:space="preserve">*TX(8) 13 00 DF 03 6A 96 8C 00 </t>
  </si>
  <si>
    <t xml:space="preserve"> RX(8) 11 00 A3 91 8C 00 00 00 </t>
  </si>
  <si>
    <t xml:space="preserve"> TX(8) 11 00 DE 03 00 00 00 00 </t>
  </si>
  <si>
    <t xml:space="preserve">*RX(8) 13 00 DE 03 A3 91 8C 00 </t>
  </si>
  <si>
    <t xml:space="preserve">*TX(8) 13 00 DE 03 A3 91 8C 00 </t>
  </si>
  <si>
    <t xml:space="preserve"> RX(8) 11 00 D6 8C 8C 00 00 00 </t>
  </si>
  <si>
    <t xml:space="preserve"> TX(8) 11 00 DD 03 00 00 00 00 </t>
  </si>
  <si>
    <t xml:space="preserve">*RX(8) 13 00 DD 03 D6 8C 8C 00 </t>
  </si>
  <si>
    <t xml:space="preserve">*TX(8) 13 00 DD 03 D6 8C 8C 00 </t>
  </si>
  <si>
    <t xml:space="preserve"> RX(8) 11 00 01 88 8C 00 00 00 </t>
  </si>
  <si>
    <t xml:space="preserve"> TX(8) 11 00 DC 03 00 00 00 00 </t>
  </si>
  <si>
    <t xml:space="preserve">*RX(8) 13 00 DC 03 01 88 8C 00 </t>
  </si>
  <si>
    <t xml:space="preserve">*TX(8) 13 00 DC 03 01 88 8C 00 </t>
  </si>
  <si>
    <t xml:space="preserve"> RX(8) 11 00 26 83 8C 00 00 00 </t>
  </si>
  <si>
    <t xml:space="preserve"> TX(8) 11 00 DB 03 00 00 00 00 </t>
  </si>
  <si>
    <t xml:space="preserve">*RX(8) 13 00 DB 03 26 83 8C 00 </t>
  </si>
  <si>
    <t xml:space="preserve">*TX(8) 13 00 DB 03 26 83 8C 00 </t>
  </si>
  <si>
    <t xml:space="preserve"> RX(8) 11 00 44 7E 8C 00 00 00 </t>
  </si>
  <si>
    <t xml:space="preserve"> TX(8) 11 00 DA 03 00 00 00 00 </t>
  </si>
  <si>
    <t xml:space="preserve">*RX(8) 13 00 DA 03 44 7E 8C 00 </t>
  </si>
  <si>
    <t xml:space="preserve">*TX(8) 13 00 DA 03 44 7E 8C 00 </t>
  </si>
  <si>
    <t xml:space="preserve"> RX(8) 11 00 5C 79 8C 00 00 00 </t>
  </si>
  <si>
    <t xml:space="preserve"> TX(8) 11 00 D9 03 00 00 00 00 </t>
  </si>
  <si>
    <t xml:space="preserve">*RX(8) 13 00 D9 03 5C 79 8C 00 </t>
  </si>
  <si>
    <t xml:space="preserve">*TX(8) 13 00 D9 03 5C 79 8C 00 </t>
  </si>
  <si>
    <t xml:space="preserve"> RX(8) 11 00 6C 74 8C 00 00 00 </t>
  </si>
  <si>
    <t xml:space="preserve"> TX(8) 11 00 D8 03 00 00 00 00 </t>
  </si>
  <si>
    <t xml:space="preserve">*RX(8) 13 00 D8 03 6C 74 8C 00 </t>
  </si>
  <si>
    <t xml:space="preserve">*TX(8) 13 00 D8 03 6C 74 8C 00 </t>
  </si>
  <si>
    <t xml:space="preserve"> RX(8) 11 00 75 6F 8C 00 00 00 </t>
  </si>
  <si>
    <t xml:space="preserve"> TX(8) 11 00 D7 03 00 00 00 00 </t>
  </si>
  <si>
    <t xml:space="preserve">*RX(8) 13 00 D7 03 75 6F 8C 00 </t>
  </si>
  <si>
    <t xml:space="preserve">*TX(8) 13 00 D7 03 75 6F 8C 00 </t>
  </si>
  <si>
    <t xml:space="preserve"> RX(8) 11 00 78 6A 8C 00 00 00 </t>
  </si>
  <si>
    <t xml:space="preserve"> TX(8) 11 00 D6 03 00 00 00 00 </t>
  </si>
  <si>
    <t xml:space="preserve">*RX(8) 13 00 D6 03 78 6A 8C 00 </t>
  </si>
  <si>
    <t xml:space="preserve">*TX(8) 13 00 D6 03 78 6A 8C 00 </t>
  </si>
  <si>
    <t xml:space="preserve"> RX(8) 11 00 73 65 8C 00 00 00 </t>
  </si>
  <si>
    <t xml:space="preserve"> TX(8) 11 00 D5 03 00 00 00 00 </t>
  </si>
  <si>
    <t xml:space="preserve">*RX(8) 13 00 D5 03 73 65 8C 00 </t>
  </si>
  <si>
    <t xml:space="preserve">*TX(8) 13 00 D5 03 73 65 8C 00 </t>
  </si>
  <si>
    <t xml:space="preserve"> RX(8) 11 00 67 60 8C 00 00 00 </t>
  </si>
  <si>
    <t xml:space="preserve"> TX(8) 11 00 D4 03 00 00 00 00 </t>
  </si>
  <si>
    <t xml:space="preserve">*RX(8) 13 00 D4 03 67 60 8C 00 </t>
  </si>
  <si>
    <t xml:space="preserve">*TX(8) 13 00 D4 03 67 60 8C 00 </t>
  </si>
  <si>
    <t xml:space="preserve"> RX(8) 11 00 54 5B 8C 00 00 00 </t>
  </si>
  <si>
    <t xml:space="preserve"> TX(8) 11 00 D3 03 00 00 00 00 </t>
  </si>
  <si>
    <t xml:space="preserve">*RX(8) 13 00 D3 03 54 5B 8C 00 </t>
  </si>
  <si>
    <t xml:space="preserve">*TX(8) 13 00 D3 03 54 5B 8C 00 </t>
  </si>
  <si>
    <t xml:space="preserve"> RX(8) 11 00 3A 56 8C 00 00 00 </t>
  </si>
  <si>
    <t xml:space="preserve"> TX(8) 11 00 D2 03 00 00 00 00 </t>
  </si>
  <si>
    <t xml:space="preserve">*RX(8) 13 00 D2 03 3A 56 8C 00 </t>
  </si>
  <si>
    <t xml:space="preserve">*TX(8) 13 00 D2 03 3A 56 8C 00 </t>
  </si>
  <si>
    <t xml:space="preserve"> RX(8) 11 00 19 51 8C 00 00 00 </t>
  </si>
  <si>
    <t xml:space="preserve"> TX(8) 11 00 D1 03 00 00 00 00 </t>
  </si>
  <si>
    <t xml:space="preserve">*RX(8) 13 00 D1 03 19 51 8C 00 </t>
  </si>
  <si>
    <t xml:space="preserve">*TX(8) 13 00 D1 03 19 51 8C 00 </t>
  </si>
  <si>
    <t xml:space="preserve"> RX(8) 11 00 F1 4B 8C 00 00 00 </t>
  </si>
  <si>
    <t xml:space="preserve"> TX(8) 11 00 D0 03 00 00 00 00 </t>
  </si>
  <si>
    <t xml:space="preserve">*RX(8) 13 00 D0 03 F1 4B 8C 00 </t>
  </si>
  <si>
    <t xml:space="preserve">*TX(8) 13 00 D0 03 F1 4B 8C 00 </t>
  </si>
  <si>
    <t xml:space="preserve"> RX(8) 11 00 C1 46 8C 00 00 00 </t>
  </si>
  <si>
    <t xml:space="preserve"> TX(8) 11 00 CF 03 00 00 00 00 </t>
  </si>
  <si>
    <t xml:space="preserve">*RX(8) 13 00 CF 03 C1 46 8C 00 </t>
  </si>
  <si>
    <t xml:space="preserve">*TX(8) 13 00 CF 03 C1 46 8C 00 </t>
  </si>
  <si>
    <t xml:space="preserve"> RX(8) 11 00 8A 41 8C 00 00 00 </t>
  </si>
  <si>
    <t xml:space="preserve"> TX(8) 11 00 CE 03 00 00 00 00 </t>
  </si>
  <si>
    <t xml:space="preserve">*RX(8) 13 00 CE 03 8A 41 8C 00 </t>
  </si>
  <si>
    <t xml:space="preserve">*TX(8) 13 00 CE 03 8A 41 8C 00 </t>
  </si>
  <si>
    <t xml:space="preserve"> RX(8) 11 00 4C 3C 8C 00 00 00 </t>
  </si>
  <si>
    <t xml:space="preserve"> TX(8) 11 00 CD 03 00 00 00 00 </t>
  </si>
  <si>
    <t xml:space="preserve">*RX(8) 13 00 CD 03 4C 3C 8C 00 </t>
  </si>
  <si>
    <t xml:space="preserve">*TX(8) 13 00 CD 03 4C 3C 8C 00 </t>
  </si>
  <si>
    <t xml:space="preserve"> RX(8) 11 00 06 37 8C 00 00 00 </t>
  </si>
  <si>
    <t xml:space="preserve"> TX(8) 11 00 CC 03 00 00 00 00 </t>
  </si>
  <si>
    <t xml:space="preserve">*RX(8) 13 00 CC 03 06 37 8C 00 </t>
  </si>
  <si>
    <t xml:space="preserve">*TX(8) 13 00 CC 03 06 37 8C 00 </t>
  </si>
  <si>
    <t xml:space="preserve"> RX(8) 11 00 B9 31 8C 00 00 00 </t>
  </si>
  <si>
    <t xml:space="preserve"> TX(8) 11 00 CB 03 00 00 00 00 </t>
  </si>
  <si>
    <t xml:space="preserve">*RX(8) 13 00 CB 03 B9 31 8C 00 </t>
  </si>
  <si>
    <t xml:space="preserve">*TX(8) 13 00 CB 03 B9 31 8C 00 </t>
  </si>
  <si>
    <t xml:space="preserve"> RX(8) 11 00 64 2C 8C 00 00 00 </t>
  </si>
  <si>
    <t xml:space="preserve"> TX(8) 11 00 CA 03 00 00 00 00 </t>
  </si>
  <si>
    <t xml:space="preserve">*RX(8) 13 00 CA 03 64 2C 8C 00 </t>
  </si>
  <si>
    <t xml:space="preserve">*TX(8) 13 00 CA 03 64 2C 8C 00 </t>
  </si>
  <si>
    <t xml:space="preserve"> RX(8) 11 00 08 27 8C 00 00 00 </t>
  </si>
  <si>
    <t xml:space="preserve"> TX(8) 11 00 C9 03 00 00 00 00 </t>
  </si>
  <si>
    <t xml:space="preserve">*RX(8) 13 00 C9 03 08 27 8C 00 </t>
  </si>
  <si>
    <t xml:space="preserve">*TX(8) 13 00 C9 03 08 27 8C 00 </t>
  </si>
  <si>
    <t xml:space="preserve"> RX(8) 11 00 A4 21 8C 00 00 00 </t>
  </si>
  <si>
    <t xml:space="preserve"> TX(8) 11 00 C8 03 00 00 00 00 </t>
  </si>
  <si>
    <t xml:space="preserve">*RX(8) 13 00 C8 03 A4 21 8C 00 </t>
  </si>
  <si>
    <t xml:space="preserve">*TX(8) 13 00 C8 03 A4 21 8C 00 </t>
  </si>
  <si>
    <t xml:space="preserve"> RX(8) 11 00 39 1C 8C 00 00 00 </t>
  </si>
  <si>
    <t xml:space="preserve"> TX(8) 11 00 C7 03 00 00 00 00 </t>
  </si>
  <si>
    <t xml:space="preserve">*RX(8) 13 00 C7 03 39 1C 8C 00 </t>
  </si>
  <si>
    <t xml:space="preserve">*TX(8) 13 00 C7 03 39 1C 8C 00 </t>
  </si>
  <si>
    <t xml:space="preserve"> RX(8) 11 00 C5 16 8C 00 00 00 </t>
  </si>
  <si>
    <t xml:space="preserve"> TX(8) 11 00 C6 03 00 00 00 00 </t>
  </si>
  <si>
    <t xml:space="preserve">*RX(8) 13 00 C6 03 C5 16 8C 00 </t>
  </si>
  <si>
    <t xml:space="preserve">*TX(8) 13 00 C6 03 C5 16 8C 00 </t>
  </si>
  <si>
    <t xml:space="preserve"> RX(8) 11 00 4B 11 8C 00 00 00 </t>
  </si>
  <si>
    <t xml:space="preserve"> TX(8) 11 00 C5 03 00 00 00 00 </t>
  </si>
  <si>
    <t xml:space="preserve">*RX(8) 13 00 C5 03 4B 11 8C 00 </t>
  </si>
  <si>
    <t xml:space="preserve">*TX(8) 13 00 C5 03 4B 11 8C 00 </t>
  </si>
  <si>
    <t xml:space="preserve"> RX(8) 11 00 C8 0B 8C 00 00 00 </t>
  </si>
  <si>
    <t xml:space="preserve"> TX(8) 11 00 C4 03 00 00 00 00 </t>
  </si>
  <si>
    <t xml:space="preserve">*RX(8) 13 00 C4 03 C8 0B 8C 00 </t>
  </si>
  <si>
    <t xml:space="preserve">*TX(8) 13 00 C4 03 C8 0B 8C 00 </t>
  </si>
  <si>
    <t xml:space="preserve"> RX(8) 11 00 3E 06 8C 00 00 00 </t>
  </si>
  <si>
    <t xml:space="preserve"> TX(8) 11 00 C3 03 00 00 00 00 </t>
  </si>
  <si>
    <t xml:space="preserve">*RX(8) 13 00 C3 03 3E 06 8C 00 </t>
  </si>
  <si>
    <t xml:space="preserve">*TX(8) 13 00 C3 03 3E 06 8C 00 </t>
  </si>
  <si>
    <t xml:space="preserve"> RX(8) 11 00 AB 00 8C 00 00 00 </t>
  </si>
  <si>
    <t xml:space="preserve"> TX(8) 11 00 C2 03 00 00 00 00 </t>
  </si>
  <si>
    <t xml:space="preserve">*RX(8) 13 00 C2 03 AB 00 8C 00 </t>
  </si>
  <si>
    <t xml:space="preserve">*TX(8) 13 00 C2 03 AB 00 8C 00 </t>
  </si>
  <si>
    <t xml:space="preserve"> RX(8) 11 00 11 FB 8B 00 00 00 </t>
  </si>
  <si>
    <t xml:space="preserve"> TX(8) 11 00 C1 03 00 00 00 00 </t>
  </si>
  <si>
    <t xml:space="preserve">*RX(8) 13 00 C1 03 11 FB 8B 00 </t>
  </si>
  <si>
    <t xml:space="preserve">*TX(8) 13 00 C1 03 11 FB 8B 00 </t>
  </si>
  <si>
    <t xml:space="preserve"> RX(8) 11 00 6F F5 8B 00 00 00 </t>
  </si>
  <si>
    <t xml:space="preserve"> TX(8) 11 00 C0 03 00 00 00 00 </t>
  </si>
  <si>
    <t xml:space="preserve">*RX(8) 13 00 C0 03 6F F5 8B 00 </t>
  </si>
  <si>
    <t xml:space="preserve">*TX(8) 13 00 C0 03 6F F5 8B 00 </t>
  </si>
  <si>
    <t xml:space="preserve"> RX(8) 11 00 C5 EF 8B 00 00 00 </t>
  </si>
  <si>
    <t xml:space="preserve"> TX(8) 11 00 BF 03 00 00 00 00 </t>
  </si>
  <si>
    <t xml:space="preserve">*RX(8) 13 00 BF 03 C5 EF 8B 00 </t>
  </si>
  <si>
    <t xml:space="preserve">*TX(8) 13 00 BF 03 C5 EF 8B 00 </t>
  </si>
  <si>
    <t xml:space="preserve"> RX(8) 11 00 13 EA 8B 00 00 00 </t>
  </si>
  <si>
    <t xml:space="preserve"> TX(8) 11 00 BE 03 00 00 00 00 </t>
  </si>
  <si>
    <t xml:space="preserve">*RX(8) 13 00 BE 03 13 EA 8B 00 </t>
  </si>
  <si>
    <t xml:space="preserve">*TX(8) 13 00 BE 03 13 EA 8B 00 </t>
  </si>
  <si>
    <t xml:space="preserve"> RX(8) 11 00 58 E4 8B 00 00 00 </t>
  </si>
  <si>
    <t xml:space="preserve"> TX(8) 11 00 BD 03 00 00 00 00 </t>
  </si>
  <si>
    <t xml:space="preserve">*RX(8) 13 00 BD 03 58 E4 8B 00 </t>
  </si>
  <si>
    <t xml:space="preserve">*TX(8) 13 00 BD 03 58 E4 8B 00 </t>
  </si>
  <si>
    <t xml:space="preserve"> RX(8) 11 00 96 DE 8B 00 00 00 </t>
  </si>
  <si>
    <t xml:space="preserve"> TX(8) 11 00 BC 03 00 00 00 00 </t>
  </si>
  <si>
    <t xml:space="preserve">*RX(8) 13 00 BC 03 96 DE 8B 00 </t>
  </si>
  <si>
    <t xml:space="preserve">*TX(8) 13 00 BC 03 96 DE 8B 00 </t>
  </si>
  <si>
    <t xml:space="preserve"> RX(8) 11 00 CB D8 8B 00 00 00 </t>
  </si>
  <si>
    <t xml:space="preserve"> TX(8) 11 00 BB 03 00 00 00 00 </t>
  </si>
  <si>
    <t xml:space="preserve">*RX(8) 13 00 BB 03 CB D8 8B 00 </t>
  </si>
  <si>
    <t xml:space="preserve">*TX(8) 13 00 BB 03 CB D8 8B 00 </t>
  </si>
  <si>
    <t xml:space="preserve"> RX(8) 11 00 F8 D2 8B 00 00 00 </t>
  </si>
  <si>
    <t xml:space="preserve"> TX(8) 11 00 BA 03 00 00 00 00 </t>
  </si>
  <si>
    <t xml:space="preserve">*RX(8) 13 00 BA 03 F8 D2 8B 00 </t>
  </si>
  <si>
    <t xml:space="preserve">*TX(8) 13 00 BA 03 F8 D2 8B 00 </t>
  </si>
  <si>
    <t xml:space="preserve"> RX(8) 11 00 1D CD 8B 00 00 00 </t>
  </si>
  <si>
    <t xml:space="preserve"> TX(8) 11 00 B9 03 00 00 00 00 </t>
  </si>
  <si>
    <t xml:space="preserve">*RX(8) 13 00 B9 03 1D CD 8B 00 </t>
  </si>
  <si>
    <t xml:space="preserve">*TX(8) 13 00 B9 03 1D CD 8B 00 </t>
  </si>
  <si>
    <t xml:space="preserve"> RX(8) 11 00 39 C7 8B 00 00 00 </t>
  </si>
  <si>
    <t xml:space="preserve"> TX(8) 11 00 B8 03 00 00 00 00 </t>
  </si>
  <si>
    <t xml:space="preserve">*RX(8) 13 00 B8 03 39 C7 8B 00 </t>
  </si>
  <si>
    <t xml:space="preserve">*TX(8) 13 00 B8 03 39 C7 8B 00 </t>
  </si>
  <si>
    <t xml:space="preserve"> RX(8) 11 00 4D C1 8B 00 00 00 </t>
  </si>
  <si>
    <t xml:space="preserve"> TX(8) 11 00 B7 03 00 00 00 00 </t>
  </si>
  <si>
    <t xml:space="preserve">*RX(8) 13 00 B7 03 4D C1 8B 00 </t>
  </si>
  <si>
    <t xml:space="preserve">*TX(8) 13 00 B7 03 4D C1 8B 00 </t>
  </si>
  <si>
    <t xml:space="preserve"> RX(8) 11 00 58 BB 8B 00 00 00 </t>
  </si>
  <si>
    <t xml:space="preserve"> TX(8) 11 00 B6 03 00 00 00 00 </t>
  </si>
  <si>
    <t xml:space="preserve">*RX(8) 13 00 B6 03 58 BB 8B 00 </t>
  </si>
  <si>
    <t xml:space="preserve">*TX(8) 13 00 B6 03 58 BB 8B 00 </t>
  </si>
  <si>
    <t xml:space="preserve"> RX(8) 11 00 5B B5 8B 00 00 00 </t>
  </si>
  <si>
    <t xml:space="preserve"> TX(8) 11 00 B5 03 00 00 00 00 </t>
  </si>
  <si>
    <t xml:space="preserve">*RX(8) 13 00 B5 03 5B B5 8B 00 </t>
  </si>
  <si>
    <t xml:space="preserve">*TX(8) 13 00 B5 03 5B B5 8B 00 </t>
  </si>
  <si>
    <t xml:space="preserve"> RX(8) 11 00 55 AF 8B 00 00 00 </t>
  </si>
  <si>
    <t xml:space="preserve"> TX(8) 11 00 B4 03 00 00 00 00 </t>
  </si>
  <si>
    <t xml:space="preserve">*RX(8) 13 00 B4 03 55 AF 8B 00 </t>
  </si>
  <si>
    <t xml:space="preserve">*TX(8) 13 00 B4 03 55 AF 8B 00 </t>
  </si>
  <si>
    <t xml:space="preserve"> RX(8) 11 00 46 A9 8B 00 00 00 </t>
  </si>
  <si>
    <t xml:space="preserve"> TX(8) 11 00 B3 03 00 00 00 00 </t>
  </si>
  <si>
    <t xml:space="preserve">*RX(8) 13 00 B3 03 46 A9 8B 00 </t>
  </si>
  <si>
    <t xml:space="preserve">*TX(8) 13 00 B3 03 46 A9 8B 00 </t>
  </si>
  <si>
    <t xml:space="preserve"> RX(8) 11 00 2F A3 8B 00 00 00 </t>
  </si>
  <si>
    <t xml:space="preserve"> TX(8) 11 00 B2 03 00 00 00 00 </t>
  </si>
  <si>
    <t xml:space="preserve">*RX(8) 13 00 B2 03 2F A3 8B 00 </t>
  </si>
  <si>
    <t xml:space="preserve">*TX(8) 13 00 B2 03 2F A3 8B 00 </t>
  </si>
  <si>
    <t xml:space="preserve"> RX(8) 11 00 0F 9D 8B 00 00 00 </t>
  </si>
  <si>
    <t xml:space="preserve"> TX(8) 11 00 B1 03 00 00 00 00 </t>
  </si>
  <si>
    <t xml:space="preserve">*RX(8) 13 00 B1 03 0F 9D 8B 00 </t>
  </si>
  <si>
    <t xml:space="preserve">*TX(8) 13 00 B1 03 0F 9D 8B 00 </t>
  </si>
  <si>
    <t xml:space="preserve"> RX(8) 11 00 E6 96 8B 00 00 00 </t>
  </si>
  <si>
    <t xml:space="preserve"> TX(8) 11 00 B0 03 00 00 00 00 </t>
  </si>
  <si>
    <t xml:space="preserve">*RX(8) 13 00 B0 03 E6 96 8B 00 </t>
  </si>
  <si>
    <t xml:space="preserve">*TX(8) 13 00 B0 03 E6 96 8B 00 </t>
  </si>
  <si>
    <t xml:space="preserve"> RX(8) 11 00 B4 90 8B 00 00 00 </t>
  </si>
  <si>
    <t xml:space="preserve"> TX(8) 11 00 AF 03 00 00 00 00 </t>
  </si>
  <si>
    <t xml:space="preserve">*RX(8) 13 00 AF 03 B4 90 8B 00 </t>
  </si>
  <si>
    <t xml:space="preserve">*TX(8) 13 00 AF 03 B4 90 8B 00 </t>
  </si>
  <si>
    <t xml:space="preserve"> RX(8) 11 00 79 8A 8B 00 00 00 </t>
  </si>
  <si>
    <t xml:space="preserve"> TX(8) 11 00 AE 03 00 00 00 00 </t>
  </si>
  <si>
    <t xml:space="preserve">*RX(8) 13 00 AE 03 79 8A 8B 00 </t>
  </si>
  <si>
    <t xml:space="preserve">*TX(8) 13 00 AE 03 79 8A 8B 00 </t>
  </si>
  <si>
    <t xml:space="preserve"> RX(8) 11 00 35 84 8B 00 00 00 </t>
  </si>
  <si>
    <t xml:space="preserve"> TX(8) 11 00 AD 03 00 00 00 00 </t>
  </si>
  <si>
    <t xml:space="preserve">*RX(8) 13 00 AD 03 35 84 8B 00 </t>
  </si>
  <si>
    <t xml:space="preserve">*TX(8) 13 00 AD 03 35 84 8B 00 </t>
  </si>
  <si>
    <t xml:space="preserve"> RX(8) 11 00 E8 7D 8B 00 00 00 </t>
  </si>
  <si>
    <t xml:space="preserve"> TX(8) 11 00 AC 03 00 00 00 00 </t>
  </si>
  <si>
    <t xml:space="preserve">*RX(8) 13 00 AC 03 E8 7D 8B 00 </t>
  </si>
  <si>
    <t xml:space="preserve">*TX(8) 13 00 AC 03 E8 7D 8B 00 </t>
  </si>
  <si>
    <t xml:space="preserve"> RX(8) 11 00 92 77 8B 00 00 00 </t>
  </si>
  <si>
    <t xml:space="preserve"> TX(8) 11 00 AB 03 00 00 00 00 </t>
  </si>
  <si>
    <t xml:space="preserve">*RX(8) 13 00 AB 03 92 77 8B 00 </t>
  </si>
  <si>
    <t xml:space="preserve">*TX(8) 13 00 AB 03 92 77 8B 00 </t>
  </si>
  <si>
    <t xml:space="preserve"> RX(8) 11 00 33 71 8B 00 00 00 </t>
  </si>
  <si>
    <t xml:space="preserve"> TX(8) 11 00 AA 03 00 00 00 00 </t>
  </si>
  <si>
    <t xml:space="preserve">*RX(8) 13 00 AA 03 33 71 8B 00 </t>
  </si>
  <si>
    <t xml:space="preserve">*TX(8) 13 00 AA 03 33 71 8B 00 </t>
  </si>
  <si>
    <t xml:space="preserve"> RX(8) 11 00 CA 6A 8B 00 00 00 </t>
  </si>
  <si>
    <t xml:space="preserve"> TX(8) 11 00 A9 03 00 00 00 00 </t>
  </si>
  <si>
    <t xml:space="preserve">*RX(8) 13 00 A9 03 CA 6A 8B 00 </t>
  </si>
  <si>
    <t xml:space="preserve">*TX(8) 13 00 A9 03 CA 6A 8B 00 </t>
  </si>
  <si>
    <t xml:space="preserve"> RX(8) 11 00 58 64 8B 00 00 00 </t>
  </si>
  <si>
    <t xml:space="preserve"> TX(8) 11 00 A8 03 00 00 00 00 </t>
  </si>
  <si>
    <t xml:space="preserve">*RX(8) 13 00 A8 03 58 64 8B 00 </t>
  </si>
  <si>
    <t xml:space="preserve">*TX(8) 13 00 A8 03 58 64 8B 00 </t>
  </si>
  <si>
    <t xml:space="preserve"> RX(8) 11 00 DD 5D 8B 00 00 00 </t>
  </si>
  <si>
    <t xml:space="preserve"> TX(8) 11 00 A7 03 00 00 00 00 </t>
  </si>
  <si>
    <t xml:space="preserve">*RX(8) 13 00 A7 03 DD 5D 8B 00 </t>
  </si>
  <si>
    <t xml:space="preserve">*TX(8) 13 00 A7 03 DD 5D 8B 00 </t>
  </si>
  <si>
    <t xml:space="preserve"> RX(8) 11 00 58 57 8B 00 00 00 </t>
  </si>
  <si>
    <t xml:space="preserve"> TX(8) 11 00 A6 03 00 00 00 00 </t>
  </si>
  <si>
    <t xml:space="preserve">*RX(8) 13 00 A6 03 58 57 8B 00 </t>
  </si>
  <si>
    <t xml:space="preserve">*TX(8) 13 00 A6 03 58 57 8B 00 </t>
  </si>
  <si>
    <t xml:space="preserve"> RX(8) 11 00 C9 50 8B 00 00 00 </t>
  </si>
  <si>
    <t xml:space="preserve"> TX(8) 11 00 A5 03 00 00 00 00 </t>
  </si>
  <si>
    <t xml:space="preserve">*RX(8) 13 00 A5 03 C9 50 8B 00 </t>
  </si>
  <si>
    <t xml:space="preserve">*TX(8) 13 00 A5 03 C9 50 8B 00 </t>
  </si>
  <si>
    <t xml:space="preserve"> RX(8) 11 00 31 4A 8B 00 00 00 </t>
  </si>
  <si>
    <t xml:space="preserve"> TX(8) 11 00 A4 03 00 00 00 00 </t>
  </si>
  <si>
    <t xml:space="preserve">*RX(8) 13 00 A4 03 31 4A 8B 00 </t>
  </si>
  <si>
    <t xml:space="preserve">*TX(8) 13 00 A4 03 31 4A 8B 00 </t>
  </si>
  <si>
    <t xml:space="preserve"> RX(8) 11 00 8F 43 8B 00 00 00 </t>
  </si>
  <si>
    <t xml:space="preserve"> TX(8) 11 00 A3 03 00 00 00 00 </t>
  </si>
  <si>
    <t xml:space="preserve">*RX(8) 13 00 A3 03 8F 43 8B 00 </t>
  </si>
  <si>
    <t xml:space="preserve">*TX(8) 13 00 A3 03 8F 43 8B 00 </t>
  </si>
  <si>
    <t xml:space="preserve"> RX(8) 11 00 E3 3C 8B 00 00 00 </t>
  </si>
  <si>
    <t xml:space="preserve"> TX(8) 11 00 A2 03 00 00 00 00 </t>
  </si>
  <si>
    <t xml:space="preserve">*RX(8) 13 00 A2 03 E3 3C 8B 00 </t>
  </si>
  <si>
    <t xml:space="preserve">*TX(8) 13 00 A2 03 E3 3C 8B 00 </t>
  </si>
  <si>
    <t xml:space="preserve"> RX(8) 11 00 2E 36 8B 00 00 00 </t>
  </si>
  <si>
    <t xml:space="preserve"> TX(8) 11 00 A1 03 00 00 00 00 </t>
  </si>
  <si>
    <t xml:space="preserve">*RX(8) 13 00 A1 03 2E 36 8B 00 </t>
  </si>
  <si>
    <t xml:space="preserve">*TX(8) 13 00 A1 03 2E 36 8B 00 </t>
  </si>
  <si>
    <t xml:space="preserve"> RX(8) 11 00 6E 2F 8B 00 00 00 </t>
  </si>
  <si>
    <t xml:space="preserve"> TX(8) 11 00 A0 03 00 00 00 00 </t>
  </si>
  <si>
    <t xml:space="preserve">*RX(8) 13 00 A0 03 6E 2F 8B 00 </t>
  </si>
  <si>
    <t xml:space="preserve">*TX(8) 13 00 A0 03 6E 2F 8B 00 </t>
  </si>
  <si>
    <t xml:space="preserve"> RX(8) 11 00 A5 28 8B 00 00 00 </t>
  </si>
  <si>
    <t xml:space="preserve"> TX(8) 11 00 9F 03 00 00 00 00 </t>
  </si>
  <si>
    <t xml:space="preserve">*RX(8) 13 00 9F 03 A5 28 8B 00 </t>
  </si>
  <si>
    <t xml:space="preserve">*TX(8) 13 00 9F 03 A5 28 8B 00 </t>
  </si>
  <si>
    <t xml:space="preserve"> RX(8) 11 00 D1 21 8B 00 00 00 </t>
  </si>
  <si>
    <t xml:space="preserve"> TX(8) 11 00 9E 03 00 00 00 00 </t>
  </si>
  <si>
    <t xml:space="preserve">*RX(8) 13 00 9E 03 D1 21 8B 00 </t>
  </si>
  <si>
    <t xml:space="preserve">*TX(8) 13 00 9E 03 D1 21 8B 00 </t>
  </si>
  <si>
    <t xml:space="preserve"> RX(8) 11 00 F3 1A 8B 00 00 00 </t>
  </si>
  <si>
    <t xml:space="preserve"> TX(8) 11 00 9D 03 00 00 00 00 </t>
  </si>
  <si>
    <t xml:space="preserve">*RX(8) 13 00 9D 03 F3 1A 8B 00 </t>
  </si>
  <si>
    <t xml:space="preserve">*TX(8) 13 00 9D 03 F3 1A 8B 00 </t>
  </si>
  <si>
    <t xml:space="preserve"> RX(8) 11 00 0B 14 8B 00 00 00 </t>
  </si>
  <si>
    <t xml:space="preserve"> TX(8) 11 00 9C 03 00 00 00 00 </t>
  </si>
  <si>
    <t xml:space="preserve">*RX(8) 13 00 9C 03 0B 14 8B 00 </t>
  </si>
  <si>
    <t xml:space="preserve">*TX(8) 13 00 9C 03 0B 14 8B 00 </t>
  </si>
  <si>
    <t xml:space="preserve"> RX(8) 11 00 19 0D 8B 00 00 00 </t>
  </si>
  <si>
    <t xml:space="preserve"> TX(8) 11 00 9B 03 00 00 00 00 </t>
  </si>
  <si>
    <t xml:space="preserve">*RX(8) 13 00 9B 03 19 0D 8B 00 </t>
  </si>
  <si>
    <t xml:space="preserve">*TX(8) 13 00 9B 03 19 0D 8B 00 </t>
  </si>
  <si>
    <t xml:space="preserve"> RX(8) 11 00 1C 06 8B 00 00 00 </t>
  </si>
  <si>
    <t xml:space="preserve"> TX(8) 11 00 9A 03 00 00 00 00 </t>
  </si>
  <si>
    <t xml:space="preserve">*RX(8) 13 00 9A 03 1C 06 8B 00 </t>
  </si>
  <si>
    <t xml:space="preserve">*TX(8) 13 00 9A 03 1C 06 8B 00 </t>
  </si>
  <si>
    <t xml:space="preserve"> RX(8) 11 00 15 FF 8A 00 00 00 </t>
  </si>
  <si>
    <t xml:space="preserve"> TX(8) 11 00 99 03 00 00 00 00 </t>
  </si>
  <si>
    <t xml:space="preserve">*RX(8) 13 00 99 03 15 FF 8A 00 </t>
  </si>
  <si>
    <t xml:space="preserve">*TX(8) 13 00 99 03 15 FF 8A 00 </t>
  </si>
  <si>
    <t xml:space="preserve"> RX(8) 11 00 03 F8 8A 00 00 00 </t>
  </si>
  <si>
    <t xml:space="preserve"> TX(8) 11 00 98 03 00 00 00 00 </t>
  </si>
  <si>
    <t xml:space="preserve">*RX(8) 13 00 98 03 03 F8 8A 00 </t>
  </si>
  <si>
    <t xml:space="preserve">*TX(8) 13 00 98 03 03 F8 8A 00 </t>
  </si>
  <si>
    <t xml:space="preserve"> RX(8) 11 00 E6 F0 8A 00 00 00 </t>
  </si>
  <si>
    <t xml:space="preserve"> TX(8) 11 00 97 03 00 00 00 00 </t>
  </si>
  <si>
    <t xml:space="preserve">*RX(8) 13 00 97 03 E6 F0 8A 00 </t>
  </si>
  <si>
    <t xml:space="preserve">*TX(8) 13 00 97 03 E6 F0 8A 00 </t>
  </si>
  <si>
    <t xml:space="preserve"> RX(8) 11 00 BF E9 8A 00 00 00 </t>
  </si>
  <si>
    <t xml:space="preserve"> TX(8) 11 00 96 03 00 00 00 00 </t>
  </si>
  <si>
    <t xml:space="preserve">*RX(8) 13 00 96 03 BF E9 8A 00 </t>
  </si>
  <si>
    <t xml:space="preserve">*TX(8) 13 00 96 03 BF E9 8A 00 </t>
  </si>
  <si>
    <t xml:space="preserve"> RX(8) 11 00 8D E2 8A 00 00 00 </t>
  </si>
  <si>
    <t xml:space="preserve"> TX(8) 11 00 95 03 00 00 00 00 </t>
  </si>
  <si>
    <t xml:space="preserve">*RX(8) 13 00 95 03 8D E2 8A 00 </t>
  </si>
  <si>
    <t xml:space="preserve">*TX(8) 13 00 95 03 8D E2 8A 00 </t>
  </si>
  <si>
    <t xml:space="preserve"> RX(8) 11 00 50 DB 8A 00 00 00 </t>
  </si>
  <si>
    <t xml:space="preserve"> TX(8) 11 00 94 03 00 00 00 00 </t>
  </si>
  <si>
    <t xml:space="preserve">*RX(8) 13 00 94 03 50 DB 8A 00 </t>
  </si>
  <si>
    <t xml:space="preserve">*TX(8) 13 00 94 03 50 DB 8A 00 </t>
  </si>
  <si>
    <t xml:space="preserve"> RX(8) 11 00 08 D4 8A 00 00 00 </t>
  </si>
  <si>
    <t xml:space="preserve"> TX(8) 11 00 93 03 00 00 00 00 </t>
  </si>
  <si>
    <t xml:space="preserve">*RX(8) 13 00 93 03 08 D4 8A 00 </t>
  </si>
  <si>
    <t xml:space="preserve">*TX(8) 13 00 93 03 08 D4 8A 00 </t>
  </si>
  <si>
    <t xml:space="preserve"> RX(8) 11 00 B5 CC 8A 00 00 00 </t>
  </si>
  <si>
    <t xml:space="preserve"> TX(8) 11 00 92 03 00 00 00 00 </t>
  </si>
  <si>
    <t xml:space="preserve">*RX(8) 13 00 92 03 B5 CC 8A 00 </t>
  </si>
  <si>
    <t xml:space="preserve">*TX(8) 13 00 92 03 B5 CC 8A 00 </t>
  </si>
  <si>
    <t xml:space="preserve"> RX(8) 11 00 56 C5 8A 00 00 00 </t>
  </si>
  <si>
    <t xml:space="preserve"> TX(8) 11 00 91 03 00 00 00 00 </t>
  </si>
  <si>
    <t xml:space="preserve">*RX(8) 13 00 91 03 56 C5 8A 00 </t>
  </si>
  <si>
    <t xml:space="preserve">*TX(8) 13 00 91 03 56 C5 8A 00 </t>
  </si>
  <si>
    <t xml:space="preserve"> RX(8) 11 00 ED BD 8A 00 00 00 </t>
  </si>
  <si>
    <t xml:space="preserve"> TX(8) 11 00 90 03 00 00 00 00 </t>
  </si>
  <si>
    <t xml:space="preserve">*RX(8) 13 00 90 03 ED BD 8A 00 </t>
  </si>
  <si>
    <t xml:space="preserve">*TX(8) 13 00 90 03 ED BD 8A 00 </t>
  </si>
  <si>
    <t xml:space="preserve"> RX(8) 11 00 78 B6 8A 00 00 00 </t>
  </si>
  <si>
    <t xml:space="preserve"> TX(8) 11 00 8F 03 00 00 00 00 </t>
  </si>
  <si>
    <t xml:space="preserve">*RX(8) 13 00 8F 03 78 B6 8A 00 </t>
  </si>
  <si>
    <t xml:space="preserve">*TX(8) 13 00 8F 03 78 B6 8A 00 </t>
  </si>
  <si>
    <t xml:space="preserve"> RX(8) 11 00 F7 AE 8A 00 00 00 </t>
  </si>
  <si>
    <t xml:space="preserve"> TX(8) 11 00 8E 03 00 00 00 00 </t>
  </si>
  <si>
    <t xml:space="preserve">*RX(8) 13 00 8E 03 F7 AE 8A 00 </t>
  </si>
  <si>
    <t xml:space="preserve">*TX(8) 13 00 8E 03 F7 AE 8A 00 </t>
  </si>
  <si>
    <t xml:space="preserve"> RX(8) 11 00 6B A7 8A 00 00 00 </t>
  </si>
  <si>
    <t xml:space="preserve"> TX(8) 11 00 8D 03 00 00 00 00 </t>
  </si>
  <si>
    <t xml:space="preserve">*RX(8) 13 00 8D 03 6B A7 8A 00 </t>
  </si>
  <si>
    <t xml:space="preserve">*TX(8) 13 00 8D 03 6B A7 8A 00 </t>
  </si>
  <si>
    <t xml:space="preserve"> RX(8) 11 00 D3 9F 8A 00 00 00 </t>
  </si>
  <si>
    <t xml:space="preserve"> TX(8) 11 00 8C 03 00 00 00 00 </t>
  </si>
  <si>
    <t xml:space="preserve">*RX(8) 13 00 8C 03 D3 9F 8A 00 </t>
  </si>
  <si>
    <t xml:space="preserve">*TX(8) 13 00 8C 03 D3 9F 8A 00 </t>
  </si>
  <si>
    <t xml:space="preserve"> RX(8) 11 00 30 98 8A 00 00 00 </t>
  </si>
  <si>
    <t xml:space="preserve"> TX(8) 11 00 8B 03 00 00 00 00 </t>
  </si>
  <si>
    <t xml:space="preserve">*RX(8) 13 00 8B 03 30 98 8A 00 </t>
  </si>
  <si>
    <t xml:space="preserve">*TX(8) 13 00 8B 03 30 98 8A 00 </t>
  </si>
  <si>
    <t xml:space="preserve"> RX(8) 11 00 80 90 8A 00 00 00 </t>
  </si>
  <si>
    <t xml:space="preserve"> TX(8) 11 00 8A 03 00 00 00 00 </t>
  </si>
  <si>
    <t xml:space="preserve">*RX(8) 13 00 8A 03 80 90 8A 00 </t>
  </si>
  <si>
    <t xml:space="preserve">*TX(8) 13 00 8A 03 80 90 8A 00 </t>
  </si>
  <si>
    <t xml:space="preserve"> RX(8) 11 00 C5 88 8A 00 00 00 </t>
  </si>
  <si>
    <t xml:space="preserve"> TX(8) 11 00 89 03 00 00 00 00 </t>
  </si>
  <si>
    <t xml:space="preserve">*RX(8) 13 00 89 03 C5 88 8A 00 </t>
  </si>
  <si>
    <t xml:space="preserve">*TX(8) 13 00 89 03 C5 88 8A 00 </t>
  </si>
  <si>
    <t xml:space="preserve"> RX(8) 11 00 FD 80 8A 00 00 00 </t>
  </si>
  <si>
    <t xml:space="preserve"> TX(8) 11 00 88 03 00 00 00 00 </t>
  </si>
  <si>
    <t xml:space="preserve">*RX(8) 13 00 88 03 FD 80 8A 00 </t>
  </si>
  <si>
    <t xml:space="preserve">*TX(8) 13 00 88 03 FD 80 8A 00 </t>
  </si>
  <si>
    <t xml:space="preserve"> RX(8) 11 00 2A 79 8A 00 00 00 </t>
  </si>
  <si>
    <t xml:space="preserve"> TX(8) 11 00 87 03 00 00 00 00 </t>
  </si>
  <si>
    <t xml:space="preserve">*RX(8) 13 00 87 03 2A 79 8A 00 </t>
  </si>
  <si>
    <t xml:space="preserve">*TX(8) 13 00 87 03 2A 79 8A 00 </t>
  </si>
  <si>
    <t xml:space="preserve"> RX(8) 11 00 49 71 8A 00 00 00 </t>
  </si>
  <si>
    <t xml:space="preserve"> TX(8) 11 00 86 03 00 00 00 00 </t>
  </si>
  <si>
    <t xml:space="preserve">*RX(8) 13 00 86 03 49 71 8A 00 </t>
  </si>
  <si>
    <t xml:space="preserve">*TX(8) 13 00 86 03 49 71 8A 00 </t>
  </si>
  <si>
    <t xml:space="preserve"> RX(8) 11 00 5D 69 8A 00 00 00 </t>
  </si>
  <si>
    <t xml:space="preserve"> TX(8) 11 00 85 03 00 00 00 00 </t>
  </si>
  <si>
    <t xml:space="preserve">*RX(8) 13 00 85 03 5D 69 8A 00 </t>
  </si>
  <si>
    <t xml:space="preserve">*TX(8) 13 00 85 03 5D 69 8A 00 </t>
  </si>
  <si>
    <t xml:space="preserve"> RX(8) 11 00 64 61 8A 00 00 00 </t>
  </si>
  <si>
    <t xml:space="preserve"> TX(8) 11 00 84 03 00 00 00 00 </t>
  </si>
  <si>
    <t xml:space="preserve">*RX(8) 13 00 84 03 64 61 8A 00 </t>
  </si>
  <si>
    <t xml:space="preserve">*TX(8) 13 00 84 03 64 61 8A 00 </t>
  </si>
  <si>
    <t xml:space="preserve"> RX(8) 11 00 5E 59 8A 00 00 00 </t>
  </si>
  <si>
    <t xml:space="preserve"> TX(8) 11 00 83 03 00 00 00 00 </t>
  </si>
  <si>
    <t xml:space="preserve">*RX(8) 13 00 83 03 5E 59 8A 00 </t>
  </si>
  <si>
    <t xml:space="preserve">*TX(8) 13 00 83 03 5E 59 8A 00 </t>
  </si>
  <si>
    <t xml:space="preserve"> RX(8) 11 00 4C 51 8A 00 00 00 </t>
  </si>
  <si>
    <t xml:space="preserve"> TX(8) 11 00 82 03 00 00 00 00 </t>
  </si>
  <si>
    <t xml:space="preserve">*RX(8) 13 00 82 03 4C 51 8A 00 </t>
  </si>
  <si>
    <t xml:space="preserve">*TX(8) 13 00 82 03 4C 51 8A 00 </t>
  </si>
  <si>
    <t xml:space="preserve"> RX(8) 11 00 2C 49 8A 00 00 00 </t>
  </si>
  <si>
    <t xml:space="preserve"> TX(8) 11 00 81 03 00 00 00 00 </t>
  </si>
  <si>
    <t xml:space="preserve">*RX(8) 13 00 81 03 2C 49 8A 00 </t>
  </si>
  <si>
    <t xml:space="preserve">*TX(8) 13 00 81 03 2C 49 8A 00 </t>
  </si>
  <si>
    <t xml:space="preserve"> RX(8) 11 00 00 41 8A 00 00 00 </t>
  </si>
  <si>
    <t xml:space="preserve"> TX(8) 11 00 80 03 00 00 00 00 </t>
  </si>
  <si>
    <t xml:space="preserve">*RX(8) 13 00 80 03 00 41 8A 00 </t>
  </si>
  <si>
    <t xml:space="preserve">*TX(8) 13 00 80 03 00 41 8A 00 </t>
  </si>
  <si>
    <t xml:space="preserve"> RX(8) 11 00 C6 38 8A 00 00 00 </t>
  </si>
  <si>
    <t xml:space="preserve"> TX(8) 11 00 7F 03 00 00 00 00 </t>
  </si>
  <si>
    <t xml:space="preserve">*RX(8) 13 00 7F 03 C6 38 8A 00 </t>
  </si>
  <si>
    <t xml:space="preserve">*TX(8) 13 00 7F 03 C6 38 8A 00 </t>
  </si>
  <si>
    <t xml:space="preserve"> RX(8) 11 00 7F 30 8A 00 00 00 </t>
  </si>
  <si>
    <t xml:space="preserve"> TX(8) 11 00 7E 03 00 00 00 00 </t>
  </si>
  <si>
    <t xml:space="preserve">*RX(8) 13 00 7E 03 7F 30 8A 00 </t>
  </si>
  <si>
    <t xml:space="preserve">*TX(8) 13 00 7E 03 7F 30 8A 00 </t>
  </si>
  <si>
    <t xml:space="preserve"> RX(8) 11 00 2B 28 8A 00 00 00 </t>
  </si>
  <si>
    <t xml:space="preserve"> TX(8) 11 00 7D 03 00 00 00 00 </t>
  </si>
  <si>
    <t xml:space="preserve">*RX(8) 13 00 7D 03 2B 28 8A 00 </t>
  </si>
  <si>
    <t xml:space="preserve">*TX(8) 13 00 7D 03 2B 28 8A 00 </t>
  </si>
  <si>
    <t xml:space="preserve"> RX(8) 11 00 C9 1F 8A 00 00 00 </t>
  </si>
  <si>
    <t xml:space="preserve"> TX(8) 11 00 7C 03 00 00 00 00 </t>
  </si>
  <si>
    <t xml:space="preserve">*RX(8) 13 00 7C 03 C9 1F 8A 00 </t>
  </si>
  <si>
    <t xml:space="preserve">*TX(8) 13 00 7C 03 C9 1F 8A 00 </t>
  </si>
  <si>
    <t xml:space="preserve"> RX(8) 11 00 5A 17 8A 00 00 00 </t>
  </si>
  <si>
    <t xml:space="preserve"> TX(8) 11 00 7B 03 00 00 00 00 </t>
  </si>
  <si>
    <t xml:space="preserve">*RX(8) 13 00 7B 03 5A 17 8A 00 </t>
  </si>
  <si>
    <t xml:space="preserve">*TX(8) 13 00 7B 03 5A 17 8A 00 </t>
  </si>
  <si>
    <t xml:space="preserve"> RX(8) 11 00 DC 0E 8A 00 00 00 </t>
  </si>
  <si>
    <t xml:space="preserve"> TX(8) 11 00 7A 03 00 00 00 00 </t>
  </si>
  <si>
    <t xml:space="preserve">*RX(8) 13 00 7A 03 DC 0E 8A 00 </t>
  </si>
  <si>
    <t xml:space="preserve">*TX(8) 13 00 7A 03 DC 0E 8A 00 </t>
  </si>
  <si>
    <t xml:space="preserve"> RX(8) 11 00 51 06 8A 00 00 00 </t>
  </si>
  <si>
    <t xml:space="preserve"> TX(8) 11 00 79 03 00 00 00 00 </t>
  </si>
  <si>
    <t xml:space="preserve">*RX(8) 13 00 79 03 51 06 8A 00 </t>
  </si>
  <si>
    <t xml:space="preserve">*TX(8) 13 00 79 03 51 06 8A 00 </t>
  </si>
  <si>
    <t xml:space="preserve"> RX(8) 11 00 B8 FD 89 00 00 00 </t>
  </si>
  <si>
    <t xml:space="preserve"> TX(8) 11 00 78 03 00 00 00 00 </t>
  </si>
  <si>
    <t xml:space="preserve">*RX(8) 13 00 78 03 B8 FD 89 00 </t>
  </si>
  <si>
    <t xml:space="preserve">*TX(8) 13 00 78 03 B8 FD 89 00 </t>
  </si>
  <si>
    <t xml:space="preserve"> RX(8) 11 00 11 F5 89 00 00 00 </t>
  </si>
  <si>
    <t xml:space="preserve"> TX(8) 11 00 77 03 00 00 00 00 </t>
  </si>
  <si>
    <t xml:space="preserve">*RX(8) 13 00 77 03 11 F5 89 00 </t>
  </si>
  <si>
    <t xml:space="preserve">*TX(8) 13 00 77 03 11 F5 89 00 </t>
  </si>
  <si>
    <t xml:space="preserve"> RX(8) 11 00 5B EC 89 00 00 00 </t>
  </si>
  <si>
    <t xml:space="preserve"> TX(8) 11 00 76 03 00 00 00 00 </t>
  </si>
  <si>
    <t xml:space="preserve">*RX(8) 13 00 76 03 5B EC 89 00 </t>
  </si>
  <si>
    <t xml:space="preserve">*TX(8) 13 00 76 03 5B EC 89 00 </t>
  </si>
  <si>
    <t xml:space="preserve"> RX(8) 11 00 96 E3 89 00 00 00 </t>
  </si>
  <si>
    <t xml:space="preserve"> TX(8) 11 00 75 03 00 00 00 00 </t>
  </si>
  <si>
    <t xml:space="preserve">*RX(8) 13 00 75 03 96 E3 89 00 </t>
  </si>
  <si>
    <t xml:space="preserve">*TX(8) 13 00 75 03 96 E3 89 00 </t>
  </si>
  <si>
    <t xml:space="preserve"> RX(8) 11 00 C3 DA 89 00 00 00 </t>
  </si>
  <si>
    <t xml:space="preserve"> TX(8) 11 00 74 03 00 00 00 00 </t>
  </si>
  <si>
    <t xml:space="preserve">*RX(8) 13 00 74 03 C3 DA 89 00 </t>
  </si>
  <si>
    <t xml:space="preserve">*TX(8) 13 00 74 03 C3 DA 89 00 </t>
  </si>
  <si>
    <t xml:space="preserve"> RX(8) 11 00 E1 D1 89 00 00 00 </t>
  </si>
  <si>
    <t xml:space="preserve"> TX(8) 11 00 73 03 00 00 00 00 </t>
  </si>
  <si>
    <t xml:space="preserve">*RX(8) 13 00 73 03 E1 D1 89 00 </t>
  </si>
  <si>
    <t xml:space="preserve">*TX(8) 13 00 73 03 E1 D1 89 00 </t>
  </si>
  <si>
    <t xml:space="preserve"> RX(8) 11 00 F0 C8 89 00 00 00 </t>
  </si>
  <si>
    <t xml:space="preserve"> TX(8) 11 00 72 03 00 00 00 00 </t>
  </si>
  <si>
    <t xml:space="preserve">*RX(8) 13 00 72 03 F0 C8 89 00 </t>
  </si>
  <si>
    <t xml:space="preserve">*TX(8) 13 00 72 03 F0 C8 89 00 </t>
  </si>
  <si>
    <t xml:space="preserve"> RX(8) 11 00 F0 BF 89 00 00 00 </t>
  </si>
  <si>
    <t xml:space="preserve"> TX(8) 11 00 71 03 00 00 00 00 </t>
  </si>
  <si>
    <t xml:space="preserve">*RX(8) 13 00 71 03 F0 BF 89 00 </t>
  </si>
  <si>
    <t xml:space="preserve">*TX(8) 13 00 71 03 F0 BF 89 00 </t>
  </si>
  <si>
    <t xml:space="preserve"> RX(8) 11 00 E1 B6 89 00 00 00 </t>
  </si>
  <si>
    <t xml:space="preserve"> TX(8) 11 00 70 03 00 00 00 00 </t>
  </si>
  <si>
    <t xml:space="preserve">*RX(8) 13 00 70 03 E1 B6 89 00 </t>
  </si>
  <si>
    <t xml:space="preserve">*TX(8) 13 00 70 03 E1 B6 89 00 </t>
  </si>
  <si>
    <t xml:space="preserve"> RX(8) 11 00 C2 AD 89 00 00 00 </t>
  </si>
  <si>
    <t xml:space="preserve"> TX(8) 11 00 6F 03 00 00 00 00 </t>
  </si>
  <si>
    <t xml:space="preserve">*RX(8) 13 00 6F 03 C2 AD 89 00 </t>
  </si>
  <si>
    <t xml:space="preserve">*TX(8) 13 00 6F 03 C2 AD 89 00 </t>
  </si>
  <si>
    <t xml:space="preserve"> RX(8) 11 00 94 A4 89 00 00 00 </t>
  </si>
  <si>
    <t xml:space="preserve"> TX(8) 11 00 6E 03 00 00 00 00 </t>
  </si>
  <si>
    <t xml:space="preserve">*RX(8) 13 00 6E 03 94 A4 89 00 </t>
  </si>
  <si>
    <t xml:space="preserve">*TX(8) 13 00 6E 03 94 A4 89 00 </t>
  </si>
  <si>
    <t xml:space="preserve"> RX(8) 11 00 56 9B 89 00 00 00 </t>
  </si>
  <si>
    <t xml:space="preserve"> TX(8) 11 00 6D 03 00 00 00 00 </t>
  </si>
  <si>
    <t xml:space="preserve">*RX(8) 13 00 6D 03 56 9B 89 00 </t>
  </si>
  <si>
    <t xml:space="preserve">*TX(8) 13 00 6D 03 56 9B 89 00 </t>
  </si>
  <si>
    <t xml:space="preserve"> RX(8) 11 00 07 92 89 00 00 00 </t>
  </si>
  <si>
    <t xml:space="preserve"> TX(8) 11 00 6C 03 00 00 00 00 </t>
  </si>
  <si>
    <t xml:space="preserve">*RX(8) 13 00 6C 03 07 92 89 00 </t>
  </si>
  <si>
    <t xml:space="preserve">*TX(8) 13 00 6C 03 07 92 89 00 </t>
  </si>
  <si>
    <t xml:space="preserve"> RX(8) 11 00 A9 88 89 00 00 00 </t>
  </si>
  <si>
    <t xml:space="preserve"> TX(8) 11 00 6B 03 00 00 00 00 </t>
  </si>
  <si>
    <t xml:space="preserve">*RX(8) 13 00 6B 03 A9 88 89 00 </t>
  </si>
  <si>
    <t xml:space="preserve">*TX(8) 13 00 6B 03 A9 88 89 00 </t>
  </si>
  <si>
    <t xml:space="preserve"> RX(8) 11 00 3A 7F 89 00 00 00 </t>
  </si>
  <si>
    <t xml:space="preserve"> TX(8) 11 00 6A 03 00 00 00 00 </t>
  </si>
  <si>
    <t xml:space="preserve">*RX(8) 13 00 6A 03 3A 7F 89 00 </t>
  </si>
  <si>
    <t xml:space="preserve">*TX(8) 13 00 6A 03 3A 7F 89 00 </t>
  </si>
  <si>
    <t xml:space="preserve"> RX(8) 11 00 BB 75 89 00 00 00 </t>
  </si>
  <si>
    <t xml:space="preserve"> TX(8) 11 00 69 03 00 00 00 00 </t>
  </si>
  <si>
    <t xml:space="preserve">*RX(8) 13 00 69 03 BB 75 89 00 </t>
  </si>
  <si>
    <t xml:space="preserve">*TX(8) 13 00 69 03 BB 75 89 00 </t>
  </si>
  <si>
    <t xml:space="preserve"> RX(8) 11 00 2B 6C 89 00 00 00 </t>
  </si>
  <si>
    <t xml:space="preserve"> TX(8) 11 00 68 03 00 00 00 00 </t>
  </si>
  <si>
    <t xml:space="preserve">*RX(8) 13 00 68 03 2B 6C 89 00 </t>
  </si>
  <si>
    <t xml:space="preserve">*TX(8) 13 00 68 03 2B 6C 89 00 </t>
  </si>
  <si>
    <t xml:space="preserve"> RX(8) 11 00 8A 62 89 00 00 00 </t>
  </si>
  <si>
    <t xml:space="preserve"> TX(8) 11 00 67 03 00 00 00 00 </t>
  </si>
  <si>
    <t xml:space="preserve">*RX(8) 13 00 67 03 8A 62 89 00 </t>
  </si>
  <si>
    <t xml:space="preserve">*TX(8) 13 00 67 03 8A 62 89 00 </t>
  </si>
  <si>
    <t xml:space="preserve"> RX(8) 11 00 D8 58 89 00 00 00 </t>
  </si>
  <si>
    <t xml:space="preserve"> TX(8) 11 00 66 03 00 00 00 00 </t>
  </si>
  <si>
    <t xml:space="preserve">*RX(8) 13 00 66 03 D8 58 89 00 </t>
  </si>
  <si>
    <t xml:space="preserve">*TX(8) 13 00 66 03 D8 58 89 00 </t>
  </si>
  <si>
    <t xml:space="preserve"> RX(8) 11 00 14 4F 89 00 00 00 </t>
  </si>
  <si>
    <t xml:space="preserve"> TX(8) 11 00 65 03 00 00 00 00 </t>
  </si>
  <si>
    <t xml:space="preserve">*RX(8) 13 00 65 03 14 4F 89 00 </t>
  </si>
  <si>
    <t xml:space="preserve">*TX(8) 13 00 65 03 14 4F 89 00 </t>
  </si>
  <si>
    <t xml:space="preserve"> RX(8) 11 00 3F 45 89 00 00 00 </t>
  </si>
  <si>
    <t xml:space="preserve"> TX(8) 11 00 64 03 00 00 00 00 </t>
  </si>
  <si>
    <t xml:space="preserve">*RX(8) 13 00 64 03 3F 45 89 00 </t>
  </si>
  <si>
    <t xml:space="preserve">*TX(8) 13 00 64 03 3F 45 89 00 </t>
  </si>
  <si>
    <t xml:space="preserve"> RX(8) 11 00 58 3B 89 00 00 00 </t>
  </si>
  <si>
    <t xml:space="preserve"> TX(8) 11 00 63 03 00 00 00 00 </t>
  </si>
  <si>
    <t xml:space="preserve">*RX(8) 13 00 63 03 58 3B 89 00 </t>
  </si>
  <si>
    <t xml:space="preserve">*TX(8) 13 00 63 03 58 3B 89 00 </t>
  </si>
  <si>
    <t xml:space="preserve"> RX(8) 11 00 5F 31 89 00 00 00 </t>
  </si>
  <si>
    <t xml:space="preserve"> TX(8) 11 00 62 03 00 00 00 00 </t>
  </si>
  <si>
    <t xml:space="preserve">*RX(8) 13 00 62 03 5F 31 89 00 </t>
  </si>
  <si>
    <t xml:space="preserve">*TX(8) 13 00 62 03 5F 31 89 00 </t>
  </si>
  <si>
    <t xml:space="preserve"> RX(8) 11 00 54 27 89 00 00 00 </t>
  </si>
  <si>
    <t xml:space="preserve"> TX(8) 11 00 61 03 00 00 00 00 </t>
  </si>
  <si>
    <t xml:space="preserve">*RX(8) 13 00 61 03 54 27 89 00 </t>
  </si>
  <si>
    <t xml:space="preserve">*TX(8) 13 00 61 03 54 27 89 00 </t>
  </si>
  <si>
    <t xml:space="preserve"> RX(8) 11 00 37 1D 89 00 00 00 </t>
  </si>
  <si>
    <t xml:space="preserve"> TX(8) 11 00 60 03 00 00 00 00 </t>
  </si>
  <si>
    <t xml:space="preserve">*RX(8) 13 00 60 03 37 1D 89 00 </t>
  </si>
  <si>
    <t xml:space="preserve">*TX(8) 13 00 60 03 37 1D 89 00 </t>
  </si>
  <si>
    <t xml:space="preserve"> RX(8) 11 00 07 13 89 00 00 00 </t>
  </si>
  <si>
    <t xml:space="preserve"> TX(8) 11 00 5F 03 00 00 00 00 </t>
  </si>
  <si>
    <t xml:space="preserve">*RX(8) 13 00 5F 03 07 13 89 00 </t>
  </si>
  <si>
    <t xml:space="preserve">*TX(8) 13 00 5F 03 07 13 89 00 </t>
  </si>
  <si>
    <t xml:space="preserve"> RX(8) 11 00 C4 08 89 00 00 00 </t>
  </si>
  <si>
    <t xml:space="preserve"> TX(8) 11 00 5E 03 00 00 00 00 </t>
  </si>
  <si>
    <t xml:space="preserve">*RX(8) 13 00 5E 03 C4 08 89 00 </t>
  </si>
  <si>
    <t xml:space="preserve">*TX(8) 13 00 5E 03 C4 08 89 00 </t>
  </si>
  <si>
    <t xml:space="preserve"> RX(8) 11 00 6D FE 88 00 00 00 </t>
  </si>
  <si>
    <t xml:space="preserve"> TX(8) 11 00 5D 03 00 00 00 00 </t>
  </si>
  <si>
    <t xml:space="preserve">*RX(8) 13 00 5D 03 6D FE 88 00 </t>
  </si>
  <si>
    <t xml:space="preserve">*TX(8) 13 00 5D 03 6D FE 88 00 </t>
  </si>
  <si>
    <t xml:space="preserve"> RX(8) 11 00 04 F4 88 00 00 00 </t>
  </si>
  <si>
    <t xml:space="preserve"> TX(8) 11 00 5C 03 00 00 00 00 </t>
  </si>
  <si>
    <t xml:space="preserve">*RX(8) 13 00 5C 03 04 F4 88 00 </t>
  </si>
  <si>
    <t xml:space="preserve">*TX(8) 13 00 5C 03 04 F4 88 00 </t>
  </si>
  <si>
    <t xml:space="preserve"> RX(8) 11 00 86 E9 88 00 00 00 </t>
  </si>
  <si>
    <t xml:space="preserve"> TX(8) 11 00 5B 03 00 00 00 00 </t>
  </si>
  <si>
    <t xml:space="preserve">*RX(8) 13 00 5B 03 86 E9 88 00 </t>
  </si>
  <si>
    <t xml:space="preserve">*TX(8) 13 00 5B 03 86 E9 88 00 </t>
  </si>
  <si>
    <t xml:space="preserve"> RX(8) 11 00 F5 DE 88 00 00 00 </t>
  </si>
  <si>
    <t xml:space="preserve"> TX(8) 11 00 5A 03 00 00 00 00 </t>
  </si>
  <si>
    <t xml:space="preserve">*RX(8) 13 00 5A 03 F5 DE 88 00 </t>
  </si>
  <si>
    <t xml:space="preserve">*TX(8) 13 00 5A 03 F5 DE 88 00 </t>
  </si>
  <si>
    <t xml:space="preserve"> RX(8) 11 00 50 D4 88 00 00 00 </t>
  </si>
  <si>
    <t xml:space="preserve"> TX(8) 11 00 59 03 00 00 00 00 </t>
  </si>
  <si>
    <t xml:space="preserve">*RX(8) 13 00 59 03 50 D4 88 00 </t>
  </si>
  <si>
    <t xml:space="preserve">*TX(8) 13 00 59 03 50 D4 88 00 </t>
  </si>
  <si>
    <t xml:space="preserve"> RX(8) 11 00 96 C9 88 00 00 00 </t>
  </si>
  <si>
    <t xml:space="preserve"> TX(8) 11 00 58 03 00 00 00 00 </t>
  </si>
  <si>
    <t xml:space="preserve">*RX(8) 13 00 58 03 96 C9 88 00 </t>
  </si>
  <si>
    <t xml:space="preserve">*TX(8) 13 00 58 03 96 C9 88 00 </t>
  </si>
  <si>
    <t xml:space="preserve"> RX(8) 11 00 C7 BE 88 00 00 00 </t>
  </si>
  <si>
    <t xml:space="preserve"> TX(8) 11 00 57 03 00 00 00 00 </t>
  </si>
  <si>
    <t xml:space="preserve">*RX(8) 13 00 57 03 C7 BE 88 00 </t>
  </si>
  <si>
    <t xml:space="preserve">*TX(8) 13 00 57 03 C7 BE 88 00 </t>
  </si>
  <si>
    <t xml:space="preserve"> RX(8) 11 00 E3 B3 88 00 00 00 </t>
  </si>
  <si>
    <t xml:space="preserve"> TX(8) 11 00 56 03 00 00 00 00 </t>
  </si>
  <si>
    <t xml:space="preserve">*RX(8) 13 00 56 03 E3 B3 88 00 </t>
  </si>
  <si>
    <t xml:space="preserve">*TX(8) 13 00 56 03 E3 B3 88 00 </t>
  </si>
  <si>
    <t xml:space="preserve"> RX(8) 11 00 EA A8 88 00 00 00 </t>
  </si>
  <si>
    <t xml:space="preserve"> TX(8) 11 00 55 03 00 00 00 00 </t>
  </si>
  <si>
    <t xml:space="preserve">*RX(8) 13 00 55 03 EA A8 88 00 </t>
  </si>
  <si>
    <t xml:space="preserve">*TX(8) 13 00 55 03 EA A8 88 00 </t>
  </si>
  <si>
    <t xml:space="preserve"> RX(8) 11 00 DB 9D 88 00 00 00 </t>
  </si>
  <si>
    <t xml:space="preserve"> TX(8) 11 00 54 03 00 00 00 00 </t>
  </si>
  <si>
    <t xml:space="preserve">*RX(8) 13 00 54 03 DB 9D 88 00 </t>
  </si>
  <si>
    <t xml:space="preserve">*TX(8) 13 00 54 03 DB 9D 88 00 </t>
  </si>
  <si>
    <t xml:space="preserve"> RX(8) 11 00 B6 92 88 00 00 00 </t>
  </si>
  <si>
    <t xml:space="preserve"> TX(8) 11 00 53 03 00 00 00 00 </t>
  </si>
  <si>
    <t xml:space="preserve">*RX(8) 13 00 53 03 B6 92 88 00 </t>
  </si>
  <si>
    <t xml:space="preserve">*TX(8) 13 00 53 03 B6 92 88 00 </t>
  </si>
  <si>
    <t xml:space="preserve"> RX(8) 11 00 7B 87 88 00 00 00 </t>
  </si>
  <si>
    <t xml:space="preserve"> TX(8) 11 00 52 03 00 00 00 00 </t>
  </si>
  <si>
    <t xml:space="preserve">*RX(8) 13 00 52 03 7B 87 88 00 </t>
  </si>
  <si>
    <t xml:space="preserve">*TX(8) 13 00 52 03 7B 87 88 00 </t>
  </si>
  <si>
    <t xml:space="preserve"> RX(8) 11 00 2A 7C 88 00 00 00 </t>
  </si>
  <si>
    <t xml:space="preserve"> TX(8) 11 00 51 03 00 00 00 00 </t>
  </si>
  <si>
    <t xml:space="preserve">*RX(8) 13 00 51 03 2A 7C 88 00 </t>
  </si>
  <si>
    <t xml:space="preserve">*TX(8) 13 00 51 03 2A 7C 88 00 </t>
  </si>
  <si>
    <t xml:space="preserve"> RX(8) 11 00 C1 70 88 00 00 00 </t>
  </si>
  <si>
    <t xml:space="preserve"> TX(8) 11 00 50 03 00 00 00 00 </t>
  </si>
  <si>
    <t xml:space="preserve">*RX(8) 13 00 50 03 C1 70 88 00 </t>
  </si>
  <si>
    <t xml:space="preserve">*TX(8) 13 00 50 03 C1 70 88 00 </t>
  </si>
  <si>
    <t xml:space="preserve"> RX(8) 11 00 41 65 88 00 00 00 </t>
  </si>
  <si>
    <t xml:space="preserve"> TX(8) 11 00 4F 03 00 00 00 00 </t>
  </si>
  <si>
    <t xml:space="preserve">*RX(8) 13 00 4F 03 41 65 88 00 </t>
  </si>
  <si>
    <t xml:space="preserve">*TX(8) 13 00 4F 03 41 65 88 00 </t>
  </si>
  <si>
    <t xml:space="preserve"> RX(8) 11 00 A9 59 88 00 00 00 </t>
  </si>
  <si>
    <t xml:space="preserve"> TX(8) 11 00 4E 03 00 00 00 00 </t>
  </si>
  <si>
    <t xml:space="preserve">*RX(8) 13 00 4E 03 A9 59 88 00 </t>
  </si>
  <si>
    <t xml:space="preserve">*TX(8) 13 00 4E 03 A9 59 88 00 </t>
  </si>
  <si>
    <t xml:space="preserve"> RX(8) 11 00 F9 4D 88 00 00 00 </t>
  </si>
  <si>
    <t xml:space="preserve"> TX(8) 11 00 4D 03 00 00 00 00 </t>
  </si>
  <si>
    <t xml:space="preserve">*RX(8) 13 00 4D 03 F9 4D 88 00 </t>
  </si>
  <si>
    <t xml:space="preserve">*TX(8) 13 00 4D 03 F9 4D 88 00 </t>
  </si>
  <si>
    <t xml:space="preserve"> RX(8) 11 00 31 42 88 00 00 00 </t>
  </si>
  <si>
    <t xml:space="preserve"> TX(8) 11 00 4C 03 00 00 00 00 </t>
  </si>
  <si>
    <t xml:space="preserve">*RX(8) 13 00 4C 03 31 42 88 00 </t>
  </si>
  <si>
    <t xml:space="preserve">*TX(8) 13 00 4C 03 31 42 88 00 </t>
  </si>
  <si>
    <t xml:space="preserve"> RX(8) 11 00 50 36 88 00 00 00 </t>
  </si>
  <si>
    <t xml:space="preserve"> TX(8) 11 00 4B 03 00 00 00 00 </t>
  </si>
  <si>
    <t xml:space="preserve">*RX(8) 13 00 4B 03 50 36 88 00 </t>
  </si>
  <si>
    <t xml:space="preserve">*TX(8) 13 00 4B 03 50 36 88 00 </t>
  </si>
  <si>
    <t xml:space="preserve"> RX(8) 11 00 56 2A 88 00 00 00 </t>
  </si>
  <si>
    <t xml:space="preserve"> TX(8) 11 00 4A 03 00 00 00 00 </t>
  </si>
  <si>
    <t xml:space="preserve">*RX(8) 13 00 4A 03 56 2A 88 00 </t>
  </si>
  <si>
    <t xml:space="preserve">*TX(8) 13 00 4A 03 56 2A 88 00 </t>
  </si>
  <si>
    <t xml:space="preserve"> RX(8) 11 00 42 1E 88 00 00 00 </t>
  </si>
  <si>
    <t xml:space="preserve"> TX(8) 11 00 49 03 00 00 00 00 </t>
  </si>
  <si>
    <t xml:space="preserve">*RX(8) 13 00 49 03 42 1E 88 00 </t>
  </si>
  <si>
    <t xml:space="preserve">*TX(8) 13 00 49 03 42 1E 88 00 </t>
  </si>
  <si>
    <t xml:space="preserve"> RX(8) 11 00 14 12 88 00 00 00 </t>
  </si>
  <si>
    <t xml:space="preserve"> TX(8) 11 00 48 03 00 00 00 00 </t>
  </si>
  <si>
    <t xml:space="preserve">*RX(8) 13 00 48 03 14 12 88 00 </t>
  </si>
  <si>
    <t xml:space="preserve">*TX(8) 13 00 48 03 14 12 88 00 </t>
  </si>
  <si>
    <t xml:space="preserve"> RX(8) 11 00 CB 05 88 00 00 00 </t>
  </si>
  <si>
    <t xml:space="preserve"> TX(8) 11 00 47 03 00 00 00 00 </t>
  </si>
  <si>
    <t xml:space="preserve">*RX(8) 13 00 47 03 CB 05 88 00 </t>
  </si>
  <si>
    <t xml:space="preserve">*TX(8) 13 00 47 03 CB 05 88 00 </t>
  </si>
  <si>
    <t xml:space="preserve"> RX(8) 11 00 67 F9 87 00 00 00 </t>
  </si>
  <si>
    <t xml:space="preserve"> TX(8) 11 00 46 03 00 00 00 00 </t>
  </si>
  <si>
    <t xml:space="preserve">*RX(8) 13 00 46 03 67 F9 87 00 </t>
  </si>
  <si>
    <t xml:space="preserve">*TX(8) 13 00 46 03 67 F9 87 00 </t>
  </si>
  <si>
    <t xml:space="preserve"> RX(8) 11 00 E8 EC 87 00 00 00 </t>
  </si>
  <si>
    <t xml:space="preserve"> TX(8) 11 00 45 03 00 00 00 00 </t>
  </si>
  <si>
    <t xml:space="preserve">*RX(8) 13 00 45 03 E8 EC 87 00 </t>
  </si>
  <si>
    <t xml:space="preserve">*TX(8) 13 00 45 03 E8 EC 87 00 </t>
  </si>
  <si>
    <t xml:space="preserve"> RX(8) 11 00 4D E0 87 00 00 00 </t>
  </si>
  <si>
    <t xml:space="preserve"> TX(8) 11 00 44 03 00 00 00 00 </t>
  </si>
  <si>
    <t xml:space="preserve">*RX(8) 13 00 44 03 4D E0 87 00 </t>
  </si>
  <si>
    <t xml:space="preserve">*TX(8) 13 00 44 03 4D E0 87 00 </t>
  </si>
  <si>
    <t xml:space="preserve"> RX(8) 11 00 96 D3 87 00 00 00 </t>
  </si>
  <si>
    <t xml:space="preserve"> TX(8) 11 00 43 03 00 00 00 00 </t>
  </si>
  <si>
    <t xml:space="preserve">*RX(8) 13 00 43 03 96 D3 87 00 </t>
  </si>
  <si>
    <t xml:space="preserve">*TX(8) 13 00 43 03 96 D3 87 00 </t>
  </si>
  <si>
    <t xml:space="preserve"> RX(8) 11 00 C2 C6 87 00 00 00 </t>
  </si>
  <si>
    <t xml:space="preserve"> TX(8) 11 00 42 03 00 00 00 00 </t>
  </si>
  <si>
    <t xml:space="preserve">*RX(8) 13 00 42 03 C2 C6 87 00 </t>
  </si>
  <si>
    <t xml:space="preserve">*TX(8) 13 00 42 03 C2 C6 87 00 </t>
  </si>
  <si>
    <t xml:space="preserve"> RX(8) 11 00 D0 B9 87 00 00 00 </t>
  </si>
  <si>
    <t xml:space="preserve"> TX(8) 11 00 41 03 00 00 00 00 </t>
  </si>
  <si>
    <t xml:space="preserve">*RX(8) 13 00 41 03 D0 B9 87 00 </t>
  </si>
  <si>
    <t xml:space="preserve">*TX(8) 13 00 41 03 D0 B9 87 00 </t>
  </si>
  <si>
    <t xml:space="preserve"> RX(8) 11 00 C0 AC 87 00 00 00 </t>
  </si>
  <si>
    <t xml:space="preserve"> TX(8) 11 00 40 03 00 00 00 00 </t>
  </si>
  <si>
    <t xml:space="preserve">*RX(8) 13 00 40 03 C0 AC 87 00 </t>
  </si>
  <si>
    <t xml:space="preserve">*TX(8) 13 00 40 03 C0 AC 87 00 </t>
  </si>
  <si>
    <t xml:space="preserve"> RX(8) 11 00 91 9F 87 00 00 00 </t>
  </si>
  <si>
    <t xml:space="preserve"> TX(8) 11 00 3F 03 00 00 00 00 </t>
  </si>
  <si>
    <t xml:space="preserve">*RX(8) 13 00 3F 03 91 9F 87 00 </t>
  </si>
  <si>
    <t xml:space="preserve">*TX(8) 13 00 3F 03 91 9F 87 00 </t>
  </si>
  <si>
    <t xml:space="preserve"> RX(8) 11 00 43 92 87 00 00 00 </t>
  </si>
  <si>
    <t xml:space="preserve"> TX(8) 11 00 3E 03 00 00 00 00 </t>
  </si>
  <si>
    <t xml:space="preserve">*RX(8) 13 00 3E 03 43 92 87 00 </t>
  </si>
  <si>
    <t xml:space="preserve">*TX(8) 13 00 3E 03 43 92 87 00 </t>
  </si>
  <si>
    <t xml:space="preserve"> RX(8) 11 00 D6 84 87 00 00 00 </t>
  </si>
  <si>
    <t xml:space="preserve"> TX(8) 11 00 3D 03 00 00 00 00 </t>
  </si>
  <si>
    <t xml:space="preserve">*RX(8) 13 00 3D 03 D6 84 87 00 </t>
  </si>
  <si>
    <t xml:space="preserve">*TX(8) 13 00 3D 03 D6 84 87 00 </t>
  </si>
  <si>
    <t xml:space="preserve"> RX(8) 11 00 48 77 87 00 00 00 </t>
  </si>
  <si>
    <t xml:space="preserve"> TX(8) 11 00 3C 03 00 00 00 00 </t>
  </si>
  <si>
    <t xml:space="preserve">*RX(8) 13 00 3C 03 48 77 87 00 </t>
  </si>
  <si>
    <t xml:space="preserve">*TX(8) 13 00 3C 03 48 77 87 00 </t>
  </si>
  <si>
    <t xml:space="preserve"> RX(8) 11 00 98 69 87 00 00 00 </t>
  </si>
  <si>
    <t xml:space="preserve"> TX(8) 11 00 3B 03 00 00 00 00 </t>
  </si>
  <si>
    <t xml:space="preserve">*RX(8) 13 00 3B 03 98 69 87 00 </t>
  </si>
  <si>
    <t xml:space="preserve">*TX(8) 13 00 3B 03 98 69 87 00 </t>
  </si>
  <si>
    <t xml:space="preserve"> RX(8) 11 00 C7 5B 87 00 00 00 </t>
  </si>
  <si>
    <t xml:space="preserve"> TX(8) 11 00 3A 03 00 00 00 00 </t>
  </si>
  <si>
    <t xml:space="preserve">*RX(8) 13 00 3A 03 C7 5B 87 00 </t>
  </si>
  <si>
    <t xml:space="preserve">*TX(8) 13 00 3A 03 C7 5B 87 00 </t>
  </si>
  <si>
    <t xml:space="preserve"> RX(8) 11 00 D4 4D 87 00 00 00 </t>
  </si>
  <si>
    <t xml:space="preserve"> TX(8) 11 00 39 03 00 00 00 00 </t>
  </si>
  <si>
    <t xml:space="preserve">*RX(8) 13 00 39 03 D4 4D 87 00 </t>
  </si>
  <si>
    <t xml:space="preserve">*TX(8) 13 00 39 03 D4 4D 87 00 </t>
  </si>
  <si>
    <t xml:space="preserve"> RX(8) 11 00 BD 3F 87 00 00 00 </t>
  </si>
  <si>
    <t xml:space="preserve"> TX(8) 11 00 38 03 00 00 00 00 </t>
  </si>
  <si>
    <t xml:space="preserve">*RX(8) 13 00 38 03 BD 3F 87 00 </t>
  </si>
  <si>
    <t xml:space="preserve">*TX(8) 13 00 38 03 BD 3F 87 00 </t>
  </si>
  <si>
    <t xml:space="preserve"> RX(8) 11 00 82 31 87 00 00 00 </t>
  </si>
  <si>
    <t xml:space="preserve"> TX(8) 11 00 37 03 00 00 00 00 </t>
  </si>
  <si>
    <t xml:space="preserve">*RX(8) 13 00 37 03 82 31 87 00 </t>
  </si>
  <si>
    <t xml:space="preserve">*TX(8) 13 00 37 03 82 31 87 00 </t>
  </si>
  <si>
    <t xml:space="preserve"> RX(8) 11 00 22 23 87 00 00 00 </t>
  </si>
  <si>
    <t xml:space="preserve"> TX(8) 11 00 36 03 00 00 00 00 </t>
  </si>
  <si>
    <t xml:space="preserve">*RX(8) 13 00 36 03 22 23 87 00 </t>
  </si>
  <si>
    <t xml:space="preserve">*TX(8) 13 00 36 03 22 23 87 00 </t>
  </si>
  <si>
    <t xml:space="preserve"> RX(8) 11 00 9C 14 87 00 00 00 </t>
  </si>
  <si>
    <t xml:space="preserve"> TX(8) 11 00 35 03 00 00 00 00 </t>
  </si>
  <si>
    <t xml:space="preserve">*RX(8) 13 00 35 03 9C 14 87 00 </t>
  </si>
  <si>
    <t xml:space="preserve">*TX(8) 13 00 35 03 9C 14 87 00 </t>
  </si>
  <si>
    <t xml:space="preserve"> RX(8) 11 00 F0 05 87 00 00 00 </t>
  </si>
  <si>
    <t xml:space="preserve"> TX(8) 11 00 34 03 00 00 00 00 </t>
  </si>
  <si>
    <t xml:space="preserve">*RX(8) 13 00 34 03 F0 05 87 00 </t>
  </si>
  <si>
    <t xml:space="preserve">*TX(8) 13 00 34 03 F0 05 87 00 </t>
  </si>
  <si>
    <t xml:space="preserve"> RX(8) 11 00 1D F7 86 00 00 00 </t>
  </si>
  <si>
    <t xml:space="preserve"> TX(8) 11 00 33 03 00 00 00 00 </t>
  </si>
  <si>
    <t xml:space="preserve">*RX(8) 13 00 33 03 1D F7 86 00 </t>
  </si>
  <si>
    <t xml:space="preserve">*TX(8) 13 00 33 03 1D F7 86 00 </t>
  </si>
  <si>
    <t xml:space="preserve"> RX(8) 11 00 21 E8 86 00 00 00 </t>
  </si>
  <si>
    <t xml:space="preserve"> TX(8) 11 00 32 03 00 00 00 00 </t>
  </si>
  <si>
    <t xml:space="preserve">*RX(8) 13 00 32 03 21 E8 86 00 </t>
  </si>
  <si>
    <t xml:space="preserve">*TX(8) 13 00 32 03 21 E8 86 00 </t>
  </si>
  <si>
    <t xml:space="preserve"> RX(8) 11 00 FC D8 86 00 00 00 </t>
  </si>
  <si>
    <t xml:space="preserve"> TX(8) 11 00 31 03 00 00 00 00 </t>
  </si>
  <si>
    <t xml:space="preserve">*RX(8) 13 00 31 03 FC D8 86 00 </t>
  </si>
  <si>
    <t xml:space="preserve">*TX(8) 13 00 31 03 FC D8 86 00 </t>
  </si>
  <si>
    <t xml:space="preserve"> RX(8) 11 00 AC C9 86 00 00 00 </t>
  </si>
  <si>
    <t xml:space="preserve"> TX(8) 11 00 30 03 00 00 00 00 </t>
  </si>
  <si>
    <t xml:space="preserve">*RX(8) 13 00 30 03 AC C9 86 00 </t>
  </si>
  <si>
    <t xml:space="preserve">*TX(8) 13 00 30 03 AC C9 86 00 </t>
  </si>
  <si>
    <t xml:space="preserve"> RX(8) 11 00 31 BA 86 00 00 00 </t>
  </si>
  <si>
    <t xml:space="preserve"> TX(8) 11 00 2F 03 00 00 00 00 </t>
  </si>
  <si>
    <t xml:space="preserve">*RX(8) 13 00 2F 03 31 BA 86 00 </t>
  </si>
  <si>
    <t xml:space="preserve">*TX(8) 13 00 2F 03 31 BA 86 00 </t>
  </si>
  <si>
    <t xml:space="preserve"> RX(8) 11 00 89 AA 86 00 00 00 </t>
  </si>
  <si>
    <t xml:space="preserve"> TX(8) 11 00 2E 03 00 00 00 00 </t>
  </si>
  <si>
    <t xml:space="preserve">*RX(8) 13 00 2E 03 89 AA 86 00 </t>
  </si>
  <si>
    <t xml:space="preserve">*TX(8) 13 00 2E 03 89 AA 86 00 </t>
  </si>
  <si>
    <t xml:space="preserve"> RX(8) 11 00 B3 9A 86 00 00 00 </t>
  </si>
  <si>
    <t xml:space="preserve"> TX(8) 11 00 2D 03 00 00 00 00 </t>
  </si>
  <si>
    <t xml:space="preserve">*RX(8) 13 00 2D 03 B3 9A 86 00 </t>
  </si>
  <si>
    <t xml:space="preserve">*TX(8) 13 00 2D 03 B3 9A 86 00 </t>
  </si>
  <si>
    <t xml:space="preserve"> RX(8) 11 00 AE 8A 86 00 00 00 </t>
  </si>
  <si>
    <t xml:space="preserve"> TX(8) 11 00 2C 03 00 00 00 00 </t>
  </si>
  <si>
    <t xml:space="preserve">*RX(8) 13 00 2C 03 AE 8A 86 00 </t>
  </si>
  <si>
    <t xml:space="preserve">*TX(8) 13 00 2C 03 AE 8A 86 00 </t>
  </si>
  <si>
    <t xml:space="preserve"> RX(8) 11 00 79 7A 86 00 00 00 </t>
  </si>
  <si>
    <t xml:space="preserve"> TX(8) 11 00 2B 03 00 00 00 00 </t>
  </si>
  <si>
    <t xml:space="preserve">*RX(8) 13 00 2B 03 79 7A 86 00 </t>
  </si>
  <si>
    <t xml:space="preserve">*TX(8) 13 00 2B 03 79 7A 86 00 </t>
  </si>
  <si>
    <t xml:space="preserve"> RX(8) 11 00 12 6A 86 00 00 00 </t>
  </si>
  <si>
    <t xml:space="preserve"> TX(8) 11 00 2A 03 00 00 00 00 </t>
  </si>
  <si>
    <t xml:space="preserve">*RX(8) 13 00 2A 03 12 6A 86 00 </t>
  </si>
  <si>
    <t xml:space="preserve">*TX(8) 13 00 2A 03 12 6A 86 00 </t>
  </si>
  <si>
    <t xml:space="preserve"> RX(8) 11 00 78 59 86 00 00 00 </t>
  </si>
  <si>
    <t xml:space="preserve"> TX(8) 11 00 29 03 00 00 00 00 </t>
  </si>
  <si>
    <t xml:space="preserve">*RX(8) 13 00 29 03 78 59 86 00 </t>
  </si>
  <si>
    <t xml:space="preserve">*TX(8) 13 00 29 03 78 59 86 00 </t>
  </si>
  <si>
    <t xml:space="preserve"> RX(8) 11 00 A9 48 86 00 00 00 </t>
  </si>
  <si>
    <t xml:space="preserve"> TX(8) 11 00 28 03 00 00 00 00 </t>
  </si>
  <si>
    <t xml:space="preserve">*RX(8) 13 00 28 03 A9 48 86 00 </t>
  </si>
  <si>
    <t xml:space="preserve">*TX(8) 13 00 28 03 A9 48 86 00 </t>
  </si>
  <si>
    <t xml:space="preserve"> RX(8) 11 00 A4 37 86 00 00 00 </t>
  </si>
  <si>
    <t xml:space="preserve"> TX(8) 11 00 27 03 00 00 00 00 </t>
  </si>
  <si>
    <t xml:space="preserve">*RX(8) 13 00 27 03 A4 37 86 00 </t>
  </si>
  <si>
    <t xml:space="preserve">*TX(8) 13 00 27 03 A4 37 86 00 </t>
  </si>
  <si>
    <t xml:space="preserve"> RX(8) 11 00 67 26 86 00 00 00 </t>
  </si>
  <si>
    <t xml:space="preserve"> TX(8) 11 00 26 03 00 00 00 00 </t>
  </si>
  <si>
    <t xml:space="preserve">*RX(8) 13 00 26 03 67 26 86 00 </t>
  </si>
  <si>
    <t xml:space="preserve">*TX(8) 13 00 26 03 67 26 86 00 </t>
  </si>
  <si>
    <t xml:space="preserve"> RX(8) 11 00 F0 14 86 00 00 00 </t>
  </si>
  <si>
    <t xml:space="preserve"> TX(8) 11 00 25 03 00 00 00 00 </t>
  </si>
  <si>
    <t xml:space="preserve">*RX(8) 13 00 25 03 F0 14 86 00 </t>
  </si>
  <si>
    <t xml:space="preserve">*TX(8) 13 00 25 03 F0 14 86 00 </t>
  </si>
  <si>
    <t xml:space="preserve"> RX(8) 11 00 3D 03 86 00 00 00 </t>
  </si>
  <si>
    <t xml:space="preserve"> TX(8) 11 00 24 03 00 00 00 00 </t>
  </si>
  <si>
    <t xml:space="preserve">*RX(8) 13 00 24 03 3D 03 86 00 </t>
  </si>
  <si>
    <t xml:space="preserve">*TX(8) 13 00 24 03 3D 03 86 00 </t>
  </si>
  <si>
    <t xml:space="preserve"> RX(8) 11 00 4C F1 85 00 00 00 </t>
  </si>
  <si>
    <t xml:space="preserve"> TX(8) 11 00 23 03 00 00 00 00 </t>
  </si>
  <si>
    <t xml:space="preserve">*RX(8) 13 00 23 03 4C F1 85 00 </t>
  </si>
  <si>
    <t xml:space="preserve">*TX(8) 13 00 23 03 4C F1 85 00 </t>
  </si>
  <si>
    <t xml:space="preserve"> RX(8) 11 00 1B DF 85 00 00 00 </t>
  </si>
  <si>
    <t xml:space="preserve"> TX(8) 11 00 22 03 00 00 00 00 </t>
  </si>
  <si>
    <t xml:space="preserve">*RX(8) 13 00 22 03 1B DF 85 00 </t>
  </si>
  <si>
    <t xml:space="preserve">*TX(8) 13 00 22 03 1B DF 85 00 </t>
  </si>
  <si>
    <t xml:space="preserve"> RX(8) 11 00 A8 CC 85 00 00 00 </t>
  </si>
  <si>
    <t xml:space="preserve"> TX(8) 11 00 21 03 00 00 00 00 </t>
  </si>
  <si>
    <t xml:space="preserve">*RX(8) 13 00 21 03 A8 CC 85 00 </t>
  </si>
  <si>
    <t xml:space="preserve">*TX(8) 13 00 21 03 A8 CC 85 00 </t>
  </si>
  <si>
    <t xml:space="preserve"> RX(8) 11 00 F1 B9 85 00 00 00 </t>
  </si>
  <si>
    <t xml:space="preserve"> TX(8) 11 00 20 03 00 00 00 00 </t>
  </si>
  <si>
    <t xml:space="preserve">*RX(8) 13 00 20 03 F1 B9 85 00 </t>
  </si>
  <si>
    <t xml:space="preserve">*TX(8) 13 00 20 03 F1 B9 85 00 </t>
  </si>
  <si>
    <t xml:space="preserve"> RX(8) 11 00 F2 A6 85 00 00 00 </t>
  </si>
  <si>
    <t xml:space="preserve"> TX(8) 11 00 1F 03 00 00 00 00 </t>
  </si>
  <si>
    <t xml:space="preserve">*RX(8) 13 00 1F 03 F2 A6 85 00 </t>
  </si>
  <si>
    <t xml:space="preserve">*TX(8) 13 00 1F 03 F2 A6 85 00 </t>
  </si>
  <si>
    <t xml:space="preserve"> RX(8) 11 00 A9 93 85 00 00 00 </t>
  </si>
  <si>
    <t xml:space="preserve"> TX(8) 11 00 1E 03 00 00 00 00 </t>
  </si>
  <si>
    <t xml:space="preserve">*RX(8) 13 00 1E 03 A9 93 85 00 </t>
  </si>
  <si>
    <t xml:space="preserve">*TX(8) 13 00 1E 03 A9 93 85 00 </t>
  </si>
  <si>
    <t xml:space="preserve"> RX(8) 11 00 12 80 85 00 00 00 </t>
  </si>
  <si>
    <t xml:space="preserve"> TX(8) 11 00 1D 03 00 00 00 00 </t>
  </si>
  <si>
    <t xml:space="preserve">*RX(8) 13 00 1D 03 12 80 85 00 </t>
  </si>
  <si>
    <t xml:space="preserve">*TX(8) 13 00 1D 03 12 80 85 00 </t>
  </si>
  <si>
    <t xml:space="preserve"> RX(8) 11 00 2B 6C 85 00 00 00 </t>
  </si>
  <si>
    <t xml:space="preserve"> TX(8) 11 00 1C 03 00 00 00 00 </t>
  </si>
  <si>
    <t xml:space="preserve">*RX(8) 13 00 1C 03 2B 6C 85 00 </t>
  </si>
  <si>
    <t xml:space="preserve">*TX(8) 13 00 1C 03 2B 6C 85 00 </t>
  </si>
  <si>
    <t xml:space="preserve"> RX(8) 11 00 F0 57 85 00 00 00 </t>
  </si>
  <si>
    <t xml:space="preserve"> TX(8) 11 00 1B 03 00 00 00 00 </t>
  </si>
  <si>
    <t xml:space="preserve">*RX(8) 13 00 1B 03 F0 57 85 00 </t>
  </si>
  <si>
    <t xml:space="preserve">*TX(8) 13 00 1B 03 F0 57 85 00 </t>
  </si>
  <si>
    <t xml:space="preserve"> RX(8) 11 00 5E 43 85 00 00 00 </t>
  </si>
  <si>
    <t xml:space="preserve"> TX(8) 11 00 1A 03 00 00 00 00 </t>
  </si>
  <si>
    <t xml:space="preserve">*RX(8) 13 00 1A 03 5E 43 85 00 </t>
  </si>
  <si>
    <t xml:space="preserve">*TX(8) 13 00 1A 03 5E 43 85 00 </t>
  </si>
  <si>
    <t xml:space="preserve"> RX(8) 11 00 6F 2E 85 00 00 00 </t>
  </si>
  <si>
    <t xml:space="preserve"> TX(8) 11 00 19 03 00 00 00 00 </t>
  </si>
  <si>
    <t xml:space="preserve">*RX(8) 13 00 19 03 6F 2E 85 00 </t>
  </si>
  <si>
    <t xml:space="preserve">*TX(8) 13 00 19 03 6F 2E 85 00 </t>
  </si>
  <si>
    <t xml:space="preserve"> RX(8) 11 00 20 19 85 00 00 00 </t>
  </si>
  <si>
    <t xml:space="preserve"> TX(8) 11 00 18 03 00 00 00 00 </t>
  </si>
  <si>
    <t xml:space="preserve">*RX(8) 13 00 18 03 20 19 85 00 </t>
  </si>
  <si>
    <t xml:space="preserve">*TX(8) 13 00 18 03 20 19 85 00 </t>
  </si>
  <si>
    <t xml:space="preserve"> RX(8) 11 00 6B 03 85 00 00 00 </t>
  </si>
  <si>
    <t xml:space="preserve"> TX(8) 11 00 17 03 00 00 00 00 </t>
  </si>
  <si>
    <t xml:space="preserve">*RX(8) 13 00 17 03 6B 03 85 00 </t>
  </si>
  <si>
    <t xml:space="preserve">*TX(8) 13 00 17 03 6B 03 85 00 </t>
  </si>
  <si>
    <t xml:space="preserve"> RX(8) 11 00 4C ED 84 00 00 00 </t>
  </si>
  <si>
    <t xml:space="preserve"> TX(8) 11 00 16 03 00 00 00 00 </t>
  </si>
  <si>
    <t xml:space="preserve">*RX(8) 13 00 16 03 4C ED 84 00 </t>
  </si>
  <si>
    <t xml:space="preserve">*TX(8) 13 00 16 03 4C ED 84 00 </t>
  </si>
  <si>
    <t xml:space="preserve"> RX(8) 11 00 BC D6 84 00 00 00 </t>
  </si>
  <si>
    <t xml:space="preserve"> TX(8) 11 00 15 03 00 00 00 00 </t>
  </si>
  <si>
    <t xml:space="preserve">*RX(8) 13 00 15 03 BC D6 84 00 </t>
  </si>
  <si>
    <t xml:space="preserve">*TX(8) 13 00 15 03 BC D6 84 00 </t>
  </si>
  <si>
    <t xml:space="preserve"> RX(8) 11 00 B5 BF 84 00 00 00 </t>
  </si>
  <si>
    <t xml:space="preserve"> TX(8) 11 00 14 03 00 00 00 00 </t>
  </si>
  <si>
    <t xml:space="preserve">*RX(8) 13 00 14 03 B5 BF 84 00 </t>
  </si>
  <si>
    <t xml:space="preserve">*TX(8) 13 00 14 03 B5 BF 84 00 </t>
  </si>
  <si>
    <t xml:space="preserve"> RX(8) 11 00 2F A8 84 00 00 00 </t>
  </si>
  <si>
    <t xml:space="preserve"> TX(8) 11 00 13 03 00 00 00 00 </t>
  </si>
  <si>
    <t xml:space="preserve">*RX(8) 13 00 13 03 2F A8 84 00 </t>
  </si>
  <si>
    <t xml:space="preserve">*TX(8) 13 00 13 03 2F A8 84 00 </t>
  </si>
  <si>
    <t xml:space="preserve"> RX(8) 11 00 22 90 84 00 00 00 </t>
  </si>
  <si>
    <t xml:space="preserve"> TX(8) 11 00 12 03 00 00 00 00 </t>
  </si>
  <si>
    <t xml:space="preserve">*RX(8) 13 00 12 03 22 90 84 00 </t>
  </si>
  <si>
    <t xml:space="preserve">*TX(8) 13 00 12 03 22 90 84 00 </t>
  </si>
  <si>
    <t xml:space="preserve"> RX(8) 11 00 85 77 84 00 00 00 </t>
  </si>
  <si>
    <t xml:space="preserve"> TX(8) 11 00 11 03 00 00 00 00 </t>
  </si>
  <si>
    <t xml:space="preserve">*RX(8) 13 00 11 03 85 77 84 00 </t>
  </si>
  <si>
    <t xml:space="preserve">*TX(8) 13 00 11 03 85 77 84 00 </t>
  </si>
  <si>
    <t xml:space="preserve"> RX(8) 11 00 4E 5E 84 00 00 00 </t>
  </si>
  <si>
    <t xml:space="preserve"> TX(8) 11 00 10 03 00 00 00 00 </t>
  </si>
  <si>
    <t xml:space="preserve">*RX(8) 13 00 10 03 4E 5E 84 00 </t>
  </si>
  <si>
    <t xml:space="preserve">*TX(8) 13 00 10 03 4E 5E 84 00 </t>
  </si>
  <si>
    <t xml:space="preserve"> RX(8) 11 00 70 44 84 00 00 00 </t>
  </si>
  <si>
    <t xml:space="preserve"> TX(8) 11 00 0F 03 00 00 00 00 </t>
  </si>
  <si>
    <t xml:space="preserve">*RX(8) 13 00 0F 03 70 44 84 00 </t>
  </si>
  <si>
    <t xml:space="preserve">*TX(8) 13 00 0F 03 70 44 84 00 </t>
  </si>
  <si>
    <t xml:space="preserve"> RX(8) 11 00 DE 29 84 00 00 00 </t>
  </si>
  <si>
    <t xml:space="preserve"> TX(8) 11 00 0E 03 00 00 00 00 </t>
  </si>
  <si>
    <t xml:space="preserve">*RX(8) 13 00 0E 03 DE 29 84 00 </t>
  </si>
  <si>
    <t xml:space="preserve">*TX(8) 13 00 0E 03 DE 29 84 00 </t>
  </si>
  <si>
    <t xml:space="preserve"> RX(8) 11 00 88 0E 84 00 00 00 </t>
  </si>
  <si>
    <t xml:space="preserve"> TX(8) 11 00 0D 03 00 00 00 00 </t>
  </si>
  <si>
    <t xml:space="preserve">*RX(8) 13 00 0D 03 88 0E 84 00 </t>
  </si>
  <si>
    <t xml:space="preserve">*TX(8) 13 00 0D 03 88 0E 84 00 </t>
  </si>
  <si>
    <t xml:space="preserve"> RX(8) 11 00 5D F2 83 00 00 00 </t>
  </si>
  <si>
    <t xml:space="preserve"> TX(8) 11 00 0C 03 00 00 00 00 </t>
  </si>
  <si>
    <t xml:space="preserve">*RX(8) 13 00 0C 03 5D F2 83 00 </t>
  </si>
  <si>
    <t xml:space="preserve">*TX(8) 13 00 0C 03 5D F2 83 00 </t>
  </si>
  <si>
    <t xml:space="preserve"> RX(8) 11 00 44 D5 83 00 00 00 </t>
  </si>
  <si>
    <t xml:space="preserve"> TX(8) 11 00 0B 03 00 00 00 00 </t>
  </si>
  <si>
    <t xml:space="preserve">*RX(8) 13 00 0B 03 44 D5 83 00 </t>
  </si>
  <si>
    <t xml:space="preserve">*TX(8) 13 00 0B 03 44 D5 83 00 </t>
  </si>
  <si>
    <t xml:space="preserve"> RX(8) 11 00 25 B7 83 00 00 00 </t>
  </si>
  <si>
    <t xml:space="preserve"> TX(8) 11 00 0A 03 00 00 00 00 </t>
  </si>
  <si>
    <t xml:space="preserve">*RX(8) 13 00 0A 03 25 B7 83 00 </t>
  </si>
  <si>
    <t xml:space="preserve">*TX(8) 13 00 0A 03 25 B7 83 00 </t>
  </si>
  <si>
    <t xml:space="preserve"> RX(8) 11 00 DE 97 83 00 00 00 </t>
  </si>
  <si>
    <t xml:space="preserve"> TX(8) 11 00 09 03 00 00 00 00 </t>
  </si>
  <si>
    <t xml:space="preserve">*RX(8) 13 00 09 03 DE 97 83 00 </t>
  </si>
  <si>
    <t xml:space="preserve">*TX(8) 13 00 09 03 DE 97 83 00 </t>
  </si>
  <si>
    <t xml:space="preserve"> RX(8) 11 00 46 77 83 00 00 00 </t>
  </si>
  <si>
    <t xml:space="preserve"> TX(8) 11 00 08 03 00 00 00 00 </t>
  </si>
  <si>
    <t>default calibration</t>
  </si>
  <si>
    <t xml:space="preserve">*RX(8) 11 00 D4 FE 83 00 00 00 </t>
  </si>
  <si>
    <t xml:space="preserve">*TX(8) 11 00 FF 03 00 00 00 00 </t>
  </si>
  <si>
    <t xml:space="preserve"> RX(8) 13 00 FF 03 D4 FE 83 00 </t>
  </si>
  <si>
    <t xml:space="preserve"> TX(8) 13 00 FF 03 D4 FE 83 00 </t>
  </si>
  <si>
    <t xml:space="preserve">*RX(8) 11 00 40 FE 83 00 00 00 </t>
  </si>
  <si>
    <t xml:space="preserve">*TX(8) 11 00 FE 03 00 00 00 00 </t>
  </si>
  <si>
    <t xml:space="preserve"> RX(8) 13 00 FE 03 40 FE 83 00 </t>
  </si>
  <si>
    <t xml:space="preserve"> TX(8) 13 00 FE 03 40 FE 83 00 </t>
  </si>
  <si>
    <t xml:space="preserve">*RX(8) 11 00 AB FD 83 00 00 00 </t>
  </si>
  <si>
    <t xml:space="preserve">*TX(8) 11 00 FD 03 00 00 00 00 </t>
  </si>
  <si>
    <t xml:space="preserve"> RX(8) 13 00 FD 03 AB FD 83 00 </t>
  </si>
  <si>
    <t xml:space="preserve"> TX(8) 13 00 FD 03 AB FD 83 00 </t>
  </si>
  <si>
    <t xml:space="preserve">*RX(8) 11 00 16 FD 83 00 00 00 </t>
  </si>
  <si>
    <t xml:space="preserve">*TX(8) 11 00 FC 03 00 00 00 00 </t>
  </si>
  <si>
    <t xml:space="preserve"> RX(8) 13 00 FC 03 16 FD 83 00 </t>
  </si>
  <si>
    <t xml:space="preserve"> TX(8) 13 00 FC 03 16 FD 83 00 </t>
  </si>
  <si>
    <t xml:space="preserve">*RX(8) 11 00 81 FC 83 00 00 00 </t>
  </si>
  <si>
    <t xml:space="preserve">*TX(8) 11 00 FB 03 00 00 00 00 </t>
  </si>
  <si>
    <t xml:space="preserve"> RX(8) 13 00 FB 03 81 FC 83 00 </t>
  </si>
  <si>
    <t xml:space="preserve"> TX(8) 13 00 FB 03 81 FC 83 00 </t>
  </si>
  <si>
    <t xml:space="preserve">*RX(8) 11 00 EB FB 83 00 00 00 </t>
  </si>
  <si>
    <t xml:space="preserve">*TX(8) 11 00 FA 03 00 00 00 00 </t>
  </si>
  <si>
    <t xml:space="preserve"> RX(8) 13 00 FA 03 EB FB 83 00 </t>
  </si>
  <si>
    <t xml:space="preserve"> TX(8) 13 00 FA 03 EB FB 83 00 </t>
  </si>
  <si>
    <t xml:space="preserve">*RX(8) 11 00 55 FB 83 00 00 00 </t>
  </si>
  <si>
    <t xml:space="preserve">*TX(8) 11 00 F9 03 00 00 00 00 </t>
  </si>
  <si>
    <t xml:space="preserve"> RX(8) 13 00 F9 03 55 FB 83 00 </t>
  </si>
  <si>
    <t xml:space="preserve"> TX(8) 13 00 F9 03 55 FB 83 00 </t>
  </si>
  <si>
    <t xml:space="preserve">*RX(8) 11 00 BF FA 83 00 00 00 </t>
  </si>
  <si>
    <t xml:space="preserve">*TX(8) 11 00 F8 03 00 00 00 00 </t>
  </si>
  <si>
    <t xml:space="preserve"> RX(8) 13 00 F8 03 BF FA 83 00 </t>
  </si>
  <si>
    <t xml:space="preserve"> TX(8) 13 00 F8 03 BF FA 83 00 </t>
  </si>
  <si>
    <t xml:space="preserve">*RX(8) 11 00 29 FA 83 00 00 00 </t>
  </si>
  <si>
    <t xml:space="preserve">*TX(8) 11 00 F7 03 00 00 00 00 </t>
  </si>
  <si>
    <t xml:space="preserve"> RX(8) 13 00 F7 03 29 FA 83 00 </t>
  </si>
  <si>
    <t xml:space="preserve"> TX(8) 13 00 F7 03 29 FA 83 00 </t>
  </si>
  <si>
    <t xml:space="preserve">*RX(8) 11 00 92 F9 83 00 00 00 </t>
  </si>
  <si>
    <t xml:space="preserve">*TX(8) 11 00 F6 03 00 00 00 00 </t>
  </si>
  <si>
    <t xml:space="preserve"> RX(8) 13 00 F6 03 92 F9 83 00 </t>
  </si>
  <si>
    <t xml:space="preserve"> TX(8) 13 00 F6 03 92 F9 83 00 </t>
  </si>
  <si>
    <t xml:space="preserve">*RX(8) 11 00 FB F8 83 00 00 00 </t>
  </si>
  <si>
    <t xml:space="preserve">*TX(8) 11 00 F5 03 00 00 00 00 </t>
  </si>
  <si>
    <t xml:space="preserve"> RX(8) 13 00 F5 03 FB F8 83 00 </t>
  </si>
  <si>
    <t xml:space="preserve"> TX(8) 13 00 F5 03 FB F8 83 00 </t>
  </si>
  <si>
    <t xml:space="preserve">*RX(8) 11 00 64 F8 83 00 00 00 </t>
  </si>
  <si>
    <t xml:space="preserve">*TX(8) 11 00 F4 03 00 00 00 00 </t>
  </si>
  <si>
    <t xml:space="preserve"> RX(8) 13 00 F4 03 64 F8 83 00 </t>
  </si>
  <si>
    <t xml:space="preserve"> TX(8) 13 00 F4 03 64 F8 83 00 </t>
  </si>
  <si>
    <t xml:space="preserve">*RX(8) 11 00 CC F7 83 00 00 00 </t>
  </si>
  <si>
    <t xml:space="preserve">*TX(8) 11 00 F3 03 00 00 00 00 </t>
  </si>
  <si>
    <t xml:space="preserve"> RX(8) 13 00 F3 03 CC F7 83 00 </t>
  </si>
  <si>
    <t xml:space="preserve"> TX(8) 13 00 F3 03 CC F7 83 00 </t>
  </si>
  <si>
    <t xml:space="preserve">*RX(8) 11 00 35 F7 83 00 00 00 </t>
  </si>
  <si>
    <t xml:space="preserve">*TX(8) 11 00 F2 03 00 00 00 00 </t>
  </si>
  <si>
    <t xml:space="preserve"> RX(8) 13 00 F2 03 35 F7 83 00 </t>
  </si>
  <si>
    <t xml:space="preserve"> TX(8) 13 00 F2 03 35 F7 83 00 </t>
  </si>
  <si>
    <t xml:space="preserve">*RX(8) 11 00 9D F6 83 00 00 00 </t>
  </si>
  <si>
    <t xml:space="preserve">*TX(8) 11 00 F1 03 00 00 00 00 </t>
  </si>
  <si>
    <t xml:space="preserve"> RX(8) 13 00 F1 03 9D F6 83 00 </t>
  </si>
  <si>
    <t xml:space="preserve"> TX(8) 13 00 F1 03 9D F6 83 00 </t>
  </si>
  <si>
    <t xml:space="preserve">*RX(8) 11 00 04 F6 83 00 00 00 </t>
  </si>
  <si>
    <t xml:space="preserve">*TX(8) 11 00 F0 03 00 00 00 00 </t>
  </si>
  <si>
    <t xml:space="preserve"> RX(8) 13 00 F0 03 04 F6 83 00 </t>
  </si>
  <si>
    <t xml:space="preserve"> TX(8) 13 00 F0 03 04 F6 83 00 </t>
  </si>
  <si>
    <t xml:space="preserve">*RX(8) 11 00 6C F5 83 00 00 00 </t>
  </si>
  <si>
    <t xml:space="preserve">*TX(8) 11 00 EF 03 00 00 00 00 </t>
  </si>
  <si>
    <t xml:space="preserve"> RX(8) 13 00 EF 03 6C F5 83 00 </t>
  </si>
  <si>
    <t xml:space="preserve"> TX(8) 13 00 EF 03 6C F5 83 00 </t>
  </si>
  <si>
    <t xml:space="preserve">*RX(8) 11 00 D3 F4 83 00 00 00 </t>
  </si>
  <si>
    <t xml:space="preserve">*TX(8) 11 00 EE 03 00 00 00 00 </t>
  </si>
  <si>
    <t xml:space="preserve"> RX(8) 13 00 EE 03 D3 F4 83 00 </t>
  </si>
  <si>
    <t xml:space="preserve"> TX(8) 13 00 EE 03 D3 F4 83 00 </t>
  </si>
  <si>
    <t xml:space="preserve">*RX(8) 11 00 3A F4 83 00 00 00 </t>
  </si>
  <si>
    <t xml:space="preserve">*TX(8) 11 00 ED 03 00 00 00 00 </t>
  </si>
  <si>
    <t xml:space="preserve"> RX(8) 13 00 ED 03 3A F4 83 00 </t>
  </si>
  <si>
    <t xml:space="preserve"> TX(8) 13 00 ED 03 3A F4 83 00 </t>
  </si>
  <si>
    <t xml:space="preserve">*RX(8) 11 00 A1 F3 83 00 00 00 </t>
  </si>
  <si>
    <t xml:space="preserve">*TX(8) 11 00 EC 03 00 00 00 00 </t>
  </si>
  <si>
    <t xml:space="preserve"> RX(8) 13 00 EC 03 A1 F3 83 00 </t>
  </si>
  <si>
    <t xml:space="preserve"> TX(8) 13 00 EC 03 A1 F3 83 00 </t>
  </si>
  <si>
    <t xml:space="preserve">*RX(8) 11 00 07 F3 83 00 00 00 </t>
  </si>
  <si>
    <t xml:space="preserve">*TX(8) 11 00 EB 03 00 00 00 00 </t>
  </si>
  <si>
    <t xml:space="preserve"> RX(8) 13 00 EB 03 07 F3 83 00 </t>
  </si>
  <si>
    <t xml:space="preserve"> TX(8) 13 00 EB 03 07 F3 83 00 </t>
  </si>
  <si>
    <t xml:space="preserve">*RX(8) 11 00 6D F2 83 00 00 00 </t>
  </si>
  <si>
    <t xml:space="preserve">*TX(8) 11 00 EA 03 00 00 00 00 </t>
  </si>
  <si>
    <t xml:space="preserve"> RX(8) 13 00 EA 03 6D F2 83 00 </t>
  </si>
  <si>
    <t xml:space="preserve"> TX(8) 13 00 EA 03 6D F2 83 00 </t>
  </si>
  <si>
    <t xml:space="preserve">*RX(8) 11 00 D3 F1 83 00 00 00 </t>
  </si>
  <si>
    <t xml:space="preserve">*TX(8) 11 00 E9 03 00 00 00 00 </t>
  </si>
  <si>
    <t xml:space="preserve"> RX(8) 13 00 E9 03 D3 F1 83 00 </t>
  </si>
  <si>
    <t xml:space="preserve"> TX(8) 13 00 E9 03 D3 F1 83 00 </t>
  </si>
  <si>
    <t xml:space="preserve">*RX(8) 11 00 38 F1 83 00 00 00 </t>
  </si>
  <si>
    <t xml:space="preserve">*TX(8) 11 00 E8 03 00 00 00 00 </t>
  </si>
  <si>
    <t xml:space="preserve"> RX(8) 13 00 E8 03 38 F1 83 00 </t>
  </si>
  <si>
    <t xml:space="preserve"> TX(8) 13 00 E8 03 38 F1 83 00 </t>
  </si>
  <si>
    <t xml:space="preserve">*RX(8) 11 00 9D F0 83 00 00 00 </t>
  </si>
  <si>
    <t xml:space="preserve">*TX(8) 11 00 E7 03 00 00 00 00 </t>
  </si>
  <si>
    <t xml:space="preserve"> RX(8) 13 00 E7 03 9D F0 83 00 </t>
  </si>
  <si>
    <t xml:space="preserve"> TX(8) 13 00 E7 03 9D F0 83 00 </t>
  </si>
  <si>
    <t xml:space="preserve">*RX(8) 11 00 02 F0 83 00 00 00 </t>
  </si>
  <si>
    <t xml:space="preserve">*TX(8) 11 00 E6 03 00 00 00 00 </t>
  </si>
  <si>
    <t xml:space="preserve"> RX(8) 13 00 E6 03 02 F0 83 00 </t>
  </si>
  <si>
    <t xml:space="preserve"> TX(8) 13 00 E6 03 02 F0 83 00 </t>
  </si>
  <si>
    <t xml:space="preserve">*RX(8) 11 00 67 EF 83 00 00 00 </t>
  </si>
  <si>
    <t xml:space="preserve">*TX(8) 11 00 E5 03 00 00 00 00 </t>
  </si>
  <si>
    <t xml:space="preserve"> RX(8) 13 00 E5 03 67 EF 83 00 </t>
  </si>
  <si>
    <t xml:space="preserve"> TX(8) 13 00 E5 03 67 EF 83 00 </t>
  </si>
  <si>
    <t xml:space="preserve">*RX(8) 11 00 CB EE 83 00 00 00 </t>
  </si>
  <si>
    <t xml:space="preserve">*TX(8) 11 00 E4 03 00 00 00 00 </t>
  </si>
  <si>
    <t xml:space="preserve"> RX(8) 13 00 E4 03 CB EE 83 00 </t>
  </si>
  <si>
    <t xml:space="preserve"> TX(8) 13 00 E4 03 CB EE 83 00 </t>
  </si>
  <si>
    <t xml:space="preserve">*RX(8) 11 00 2F EE 83 00 00 00 </t>
  </si>
  <si>
    <t xml:space="preserve">*TX(8) 11 00 E3 03 00 00 00 00 </t>
  </si>
  <si>
    <t xml:space="preserve"> RX(8) 13 00 E3 03 2F EE 83 00 </t>
  </si>
  <si>
    <t xml:space="preserve"> TX(8) 13 00 E3 03 2F EE 83 00 </t>
  </si>
  <si>
    <t xml:space="preserve">*RX(8) 11 00 93 ED 83 00 00 00 </t>
  </si>
  <si>
    <t xml:space="preserve">*TX(8) 11 00 E2 03 00 00 00 00 </t>
  </si>
  <si>
    <t xml:space="preserve"> RX(8) 13 00 E2 03 93 ED 83 00 </t>
  </si>
  <si>
    <t xml:space="preserve"> TX(8) 13 00 E2 03 93 ED 83 00 </t>
  </si>
  <si>
    <t xml:space="preserve">*RX(8) 11 00 F6 EC 83 00 00 00 </t>
  </si>
  <si>
    <t xml:space="preserve">*TX(8) 11 00 E1 03 00 00 00 00 </t>
  </si>
  <si>
    <t xml:space="preserve"> RX(8) 13 00 E1 03 F6 EC 83 00 </t>
  </si>
  <si>
    <t xml:space="preserve"> TX(8) 13 00 E1 03 F6 EC 83 00 </t>
  </si>
  <si>
    <t xml:space="preserve">*RX(8) 11 00 59 EC 83 00 00 00 </t>
  </si>
  <si>
    <t xml:space="preserve">*TX(8) 11 00 E0 03 00 00 00 00 </t>
  </si>
  <si>
    <t xml:space="preserve"> RX(8) 13 00 E0 03 59 EC 83 00 </t>
  </si>
  <si>
    <t xml:space="preserve"> TX(8) 13 00 E0 03 59 EC 83 00 </t>
  </si>
  <si>
    <t xml:space="preserve">*RX(8) 11 00 BC EB 83 00 00 00 </t>
  </si>
  <si>
    <t xml:space="preserve">*TX(8) 11 00 DF 03 00 00 00 00 </t>
  </si>
  <si>
    <t xml:space="preserve"> RX(8) 13 00 DF 03 BC EB 83 00 </t>
  </si>
  <si>
    <t xml:space="preserve"> TX(8) 13 00 DF 03 BC EB 83 00 </t>
  </si>
  <si>
    <t xml:space="preserve">*RX(8) 11 00 1E EB 83 00 00 00 </t>
  </si>
  <si>
    <t xml:space="preserve">*TX(8) 11 00 DE 03 00 00 00 00 </t>
  </si>
  <si>
    <t xml:space="preserve"> RX(8) 13 00 DE 03 1E EB 83 00 </t>
  </si>
  <si>
    <t xml:space="preserve"> TX(8) 13 00 DE 03 1E EB 83 00 </t>
  </si>
  <si>
    <t xml:space="preserve">*RX(8) 11 00 81 EA 83 00 00 00 </t>
  </si>
  <si>
    <t xml:space="preserve">*TX(8) 11 00 DD 03 00 00 00 00 </t>
  </si>
  <si>
    <t xml:space="preserve"> RX(8) 13 00 DD 03 81 EA 83 00 </t>
  </si>
  <si>
    <t xml:space="preserve"> TX(8) 13 00 DD 03 81 EA 83 00 </t>
  </si>
  <si>
    <t xml:space="preserve">*RX(8) 11 00 E3 E9 83 00 00 00 </t>
  </si>
  <si>
    <t xml:space="preserve">*TX(8) 11 00 DC 03 00 00 00 00 </t>
  </si>
  <si>
    <t xml:space="preserve"> RX(8) 13 00 DC 03 E3 E9 83 00 </t>
  </si>
  <si>
    <t xml:space="preserve"> TX(8) 13 00 DC 03 E3 E9 83 00 </t>
  </si>
  <si>
    <t xml:space="preserve">*RX(8) 11 00 44 E9 83 00 00 00 </t>
  </si>
  <si>
    <t xml:space="preserve">*TX(8) 11 00 DB 03 00 00 00 00 </t>
  </si>
  <si>
    <t xml:space="preserve"> RX(8) 13 00 DB 03 44 E9 83 00 </t>
  </si>
  <si>
    <t xml:space="preserve"> TX(8) 13 00 DB 03 44 E9 83 00 </t>
  </si>
  <si>
    <t xml:space="preserve">*RX(8) 11 00 A5 E8 83 00 00 00 </t>
  </si>
  <si>
    <t xml:space="preserve">*TX(8) 11 00 DA 03 00 00 00 00 </t>
  </si>
  <si>
    <t xml:space="preserve"> RX(8) 13 00 DA 03 A5 E8 83 00 </t>
  </si>
  <si>
    <t xml:space="preserve"> TX(8) 13 00 DA 03 A5 E8 83 00 </t>
  </si>
  <si>
    <t xml:space="preserve">*RX(8) 11 00 06 E8 83 00 00 00 </t>
  </si>
  <si>
    <t xml:space="preserve">*TX(8) 11 00 D9 03 00 00 00 00 </t>
  </si>
  <si>
    <t xml:space="preserve"> RX(8) 13 00 D9 03 06 E8 83 00 </t>
  </si>
  <si>
    <t xml:space="preserve"> TX(8) 13 00 D9 03 06 E8 83 00 </t>
  </si>
  <si>
    <t xml:space="preserve">*RX(8) 11 00 67 E7 83 00 00 00 </t>
  </si>
  <si>
    <t xml:space="preserve">*TX(8) 11 00 D8 03 00 00 00 00 </t>
  </si>
  <si>
    <t xml:space="preserve"> RX(8) 13 00 D8 03 67 E7 83 00 </t>
  </si>
  <si>
    <t xml:space="preserve"> TX(8) 13 00 D8 03 67 E7 83 00 </t>
  </si>
  <si>
    <t xml:space="preserve">*RX(8) 11 00 C7 E6 83 00 00 00 </t>
  </si>
  <si>
    <t xml:space="preserve">*TX(8) 11 00 D7 03 00 00 00 00 </t>
  </si>
  <si>
    <t xml:space="preserve"> RX(8) 13 00 D7 03 C7 E6 83 00 </t>
  </si>
  <si>
    <t xml:space="preserve"> TX(8) 13 00 D7 03 C7 E6 83 00 </t>
  </si>
  <si>
    <t xml:space="preserve">*RX(8) 11 00 27 E6 83 00 00 00 </t>
  </si>
  <si>
    <t xml:space="preserve">*TX(8) 11 00 D6 03 00 00 00 00 </t>
  </si>
  <si>
    <t xml:space="preserve"> RX(8) 13 00 D6 03 27 E6 83 00 </t>
  </si>
  <si>
    <t xml:space="preserve"> TX(8) 13 00 D6 03 27 E6 83 00 </t>
  </si>
  <si>
    <t xml:space="preserve">*RX(8) 11 00 87 E5 83 00 00 00 </t>
  </si>
  <si>
    <t xml:space="preserve">*TX(8) 11 00 D5 03 00 00 00 00 </t>
  </si>
  <si>
    <t xml:space="preserve"> RX(8) 13 00 D5 03 87 E5 83 00 </t>
  </si>
  <si>
    <t xml:space="preserve"> TX(8) 13 00 D5 03 87 E5 83 00 </t>
  </si>
  <si>
    <t xml:space="preserve">*RX(8) 11 00 E6 E4 83 00 00 00 </t>
  </si>
  <si>
    <t xml:space="preserve">*TX(8) 11 00 D4 03 00 00 00 00 </t>
  </si>
  <si>
    <t xml:space="preserve"> RX(8) 13 00 D4 03 E6 E4 83 00 </t>
  </si>
  <si>
    <t xml:space="preserve"> TX(8) 13 00 D4 03 E6 E4 83 00 </t>
  </si>
  <si>
    <t xml:space="preserve">*RX(8) 11 00 45 E4 83 00 00 00 </t>
  </si>
  <si>
    <t xml:space="preserve">*TX(8) 11 00 D3 03 00 00 00 00 </t>
  </si>
  <si>
    <t xml:space="preserve"> RX(8) 13 00 D3 03 45 E4 83 00 </t>
  </si>
  <si>
    <t xml:space="preserve"> TX(8) 13 00 D3 03 45 E4 83 00 </t>
  </si>
  <si>
    <t xml:space="preserve">*RX(8) 11 00 A4 E3 83 00 00 00 </t>
  </si>
  <si>
    <t xml:space="preserve">*TX(8) 11 00 D2 03 00 00 00 00 </t>
  </si>
  <si>
    <t xml:space="preserve"> RX(8) 13 00 D2 03 A4 E3 83 00 </t>
  </si>
  <si>
    <t xml:space="preserve"> TX(8) 13 00 D2 03 A4 E3 83 00 </t>
  </si>
  <si>
    <t xml:space="preserve">*RX(8) 11 00 02 E3 83 00 00 00 </t>
  </si>
  <si>
    <t xml:space="preserve">*TX(8) 11 00 D1 03 00 00 00 00 </t>
  </si>
  <si>
    <t xml:space="preserve"> RX(8) 13 00 D1 03 02 E3 83 00 </t>
  </si>
  <si>
    <t xml:space="preserve"> TX(8) 13 00 D1 03 02 E3 83 00 </t>
  </si>
  <si>
    <t xml:space="preserve">*RX(8) 11 00 61 E2 83 00 00 00 </t>
  </si>
  <si>
    <t xml:space="preserve">*TX(8) 11 00 D0 03 00 00 00 00 </t>
  </si>
  <si>
    <t xml:space="preserve"> RX(8) 13 00 D0 03 61 E2 83 00 </t>
  </si>
  <si>
    <t xml:space="preserve"> TX(8) 13 00 D0 03 61 E2 83 00 </t>
  </si>
  <si>
    <t xml:space="preserve">*RX(8) 11 00 BE E1 83 00 00 00 </t>
  </si>
  <si>
    <t xml:space="preserve">*TX(8) 11 00 CF 03 00 00 00 00 </t>
  </si>
  <si>
    <t xml:space="preserve"> RX(8) 13 00 CF 03 BE E1 83 00 </t>
  </si>
  <si>
    <t xml:space="preserve"> TX(8) 13 00 CF 03 BE E1 83 00 </t>
  </si>
  <si>
    <t xml:space="preserve">*RX(8) 11 00 1C E1 83 00 00 00 </t>
  </si>
  <si>
    <t xml:space="preserve">*TX(8) 11 00 CE 03 00 00 00 00 </t>
  </si>
  <si>
    <t xml:space="preserve"> RX(8) 13 00 CE 03 1C E1 83 00 </t>
  </si>
  <si>
    <t xml:space="preserve"> TX(8) 13 00 CE 03 1C E1 83 00 </t>
  </si>
  <si>
    <t xml:space="preserve">*RX(8) 11 00 79 E0 83 00 00 00 </t>
  </si>
  <si>
    <t xml:space="preserve">*TX(8) 11 00 CD 03 00 00 00 00 </t>
  </si>
  <si>
    <t xml:space="preserve"> RX(8) 13 00 CD 03 79 E0 83 00 </t>
  </si>
  <si>
    <t xml:space="preserve"> TX(8) 13 00 CD 03 79 E0 83 00 </t>
  </si>
  <si>
    <t xml:space="preserve">*RX(8) 11 00 D5 DF 83 00 00 00 </t>
  </si>
  <si>
    <t xml:space="preserve">*TX(8) 11 00 CC 03 00 00 00 00 </t>
  </si>
  <si>
    <t xml:space="preserve"> RX(8) 13 00 CC 03 D5 DF 83 00 </t>
  </si>
  <si>
    <t xml:space="preserve"> TX(8) 13 00 CC 03 D5 DF 83 00 </t>
  </si>
  <si>
    <t xml:space="preserve">*RX(8) 11 00 32 DF 83 00 00 00 </t>
  </si>
  <si>
    <t xml:space="preserve">*TX(8) 11 00 CB 03 00 00 00 00 </t>
  </si>
  <si>
    <t xml:space="preserve"> RX(8) 13 00 CB 03 32 DF 83 00 </t>
  </si>
  <si>
    <t xml:space="preserve"> TX(8) 13 00 CB 03 32 DF 83 00 </t>
  </si>
  <si>
    <t xml:space="preserve">*RX(8) 11 00 8E DE 83 00 00 00 </t>
  </si>
  <si>
    <t xml:space="preserve">*TX(8) 11 00 CA 03 00 00 00 00 </t>
  </si>
  <si>
    <t xml:space="preserve"> RX(8) 13 00 CA 03 8E DE 83 00 </t>
  </si>
  <si>
    <t xml:space="preserve"> TX(8) 13 00 CA 03 8E DE 83 00 </t>
  </si>
  <si>
    <t xml:space="preserve">*RX(8) 11 00 EA DD 83 00 00 00 </t>
  </si>
  <si>
    <t xml:space="preserve">*TX(8) 11 00 C9 03 00 00 00 00 </t>
  </si>
  <si>
    <t xml:space="preserve"> RX(8) 13 00 C9 03 EA DD 83 00 </t>
  </si>
  <si>
    <t xml:space="preserve"> TX(8) 13 00 C9 03 EA DD 83 00 </t>
  </si>
  <si>
    <t xml:space="preserve">*RX(8) 11 00 45 DD 83 00 00 00 </t>
  </si>
  <si>
    <t xml:space="preserve">*TX(8) 11 00 C8 03 00 00 00 00 </t>
  </si>
  <si>
    <t xml:space="preserve"> RX(8) 13 00 C8 03 45 DD 83 00 </t>
  </si>
  <si>
    <t xml:space="preserve"> TX(8) 13 00 C8 03 45 DD 83 00 </t>
  </si>
  <si>
    <t xml:space="preserve">*RX(8) 11 00 A0 DC 83 00 00 00 </t>
  </si>
  <si>
    <t xml:space="preserve">*TX(8) 11 00 C7 03 00 00 00 00 </t>
  </si>
  <si>
    <t xml:space="preserve"> RX(8) 13 00 C7 03 A0 DC 83 00 </t>
  </si>
  <si>
    <t xml:space="preserve"> TX(8) 13 00 C7 03 A0 DC 83 00 </t>
  </si>
  <si>
    <t xml:space="preserve">*RX(8) 11 00 FB DB 83 00 00 00 </t>
  </si>
  <si>
    <t xml:space="preserve">*TX(8) 11 00 C6 03 00 00 00 00 </t>
  </si>
  <si>
    <t xml:space="preserve"> RX(8) 13 00 C6 03 FB DB 83 00 </t>
  </si>
  <si>
    <t xml:space="preserve"> TX(8) 13 00 C6 03 FB DB 83 00 </t>
  </si>
  <si>
    <t xml:space="preserve">*RX(8) 11 00 55 DB 83 00 00 00 </t>
  </si>
  <si>
    <t xml:space="preserve">*TX(8) 11 00 C5 03 00 00 00 00 </t>
  </si>
  <si>
    <t xml:space="preserve"> RX(8) 13 00 C5 03 55 DB 83 00 </t>
  </si>
  <si>
    <t xml:space="preserve"> TX(8) 13 00 C5 03 55 DB 83 00 </t>
  </si>
  <si>
    <t xml:space="preserve">*RX(8) 11 00 AF DA 83 00 00 00 </t>
  </si>
  <si>
    <t xml:space="preserve">*TX(8) 11 00 C4 03 00 00 00 00 </t>
  </si>
  <si>
    <t xml:space="preserve"> RX(8) 13 00 C4 03 AF DA 83 00 </t>
  </si>
  <si>
    <t xml:space="preserve"> TX(8) 13 00 C4 03 AF DA 83 00 </t>
  </si>
  <si>
    <t xml:space="preserve">*RX(8) 11 00 09 DA 83 00 00 00 </t>
  </si>
  <si>
    <t xml:space="preserve">*TX(8) 11 00 C3 03 00 00 00 00 </t>
  </si>
  <si>
    <t xml:space="preserve"> RX(8) 13 00 C3 03 09 DA 83 00 </t>
  </si>
  <si>
    <t xml:space="preserve"> TX(8) 13 00 C3 03 09 DA 83 00 </t>
  </si>
  <si>
    <t xml:space="preserve">*RX(8) 11 00 62 D9 83 00 00 00 </t>
  </si>
  <si>
    <t xml:space="preserve">*TX(8) 11 00 C2 03 00 00 00 00 </t>
  </si>
  <si>
    <t xml:space="preserve"> RX(8) 13 00 C2 03 62 D9 83 00 </t>
  </si>
  <si>
    <t xml:space="preserve"> TX(8) 13 00 C2 03 62 D9 83 00 </t>
  </si>
  <si>
    <t xml:space="preserve">*RX(8) 11 00 BB D8 83 00 00 00 </t>
  </si>
  <si>
    <t xml:space="preserve">*TX(8) 11 00 C1 03 00 00 00 00 </t>
  </si>
  <si>
    <t xml:space="preserve"> RX(8) 13 00 C1 03 BB D8 83 00 </t>
  </si>
  <si>
    <t xml:space="preserve"> TX(8) 13 00 C1 03 BB D8 83 00 </t>
  </si>
  <si>
    <t xml:space="preserve">*RX(8) 11 00 13 D8 83 00 00 00 </t>
  </si>
  <si>
    <t xml:space="preserve">*TX(8) 11 00 C0 03 00 00 00 00 </t>
  </si>
  <si>
    <t xml:space="preserve"> RX(8) 13 00 C0 03 13 D8 83 00 </t>
  </si>
  <si>
    <t xml:space="preserve"> TX(8) 13 00 C0 03 13 D8 83 00 </t>
  </si>
  <si>
    <t xml:space="preserve">*RX(8) 11 00 6B D7 83 00 00 00 </t>
  </si>
  <si>
    <t xml:space="preserve">*TX(8) 11 00 BF 03 00 00 00 00 </t>
  </si>
  <si>
    <t xml:space="preserve"> RX(8) 13 00 BF 03 6B D7 83 00 </t>
  </si>
  <si>
    <t xml:space="preserve"> TX(8) 13 00 BF 03 6B D7 83 00 </t>
  </si>
  <si>
    <t xml:space="preserve">*RX(8) 11 00 C3 D6 83 00 00 00 </t>
  </si>
  <si>
    <t xml:space="preserve">*TX(8) 11 00 BE 03 00 00 00 00 </t>
  </si>
  <si>
    <t xml:space="preserve"> RX(8) 13 00 BE 03 C3 D6 83 00 </t>
  </si>
  <si>
    <t xml:space="preserve"> TX(8) 13 00 BE 03 C3 D6 83 00 </t>
  </si>
  <si>
    <t xml:space="preserve">*RX(8) 11 00 1B D6 83 00 00 00 </t>
  </si>
  <si>
    <t xml:space="preserve">*TX(8) 11 00 BD 03 00 00 00 00 </t>
  </si>
  <si>
    <t xml:space="preserve"> RX(8) 13 00 BD 03 1B D6 83 00 </t>
  </si>
  <si>
    <t xml:space="preserve"> TX(8) 13 00 BD 03 1B D6 83 00 </t>
  </si>
  <si>
    <t xml:space="preserve">*RX(8) 11 00 72 D5 83 00 00 00 </t>
  </si>
  <si>
    <t xml:space="preserve">*TX(8) 11 00 BC 03 00 00 00 00 </t>
  </si>
  <si>
    <t xml:space="preserve"> RX(8) 13 00 BC 03 72 D5 83 00 </t>
  </si>
  <si>
    <t xml:space="preserve"> TX(8) 13 00 BC 03 72 D5 83 00 </t>
  </si>
  <si>
    <t xml:space="preserve">*RX(8) 11 00 C8 D4 83 00 00 00 </t>
  </si>
  <si>
    <t xml:space="preserve">*TX(8) 11 00 BB 03 00 00 00 00 </t>
  </si>
  <si>
    <t xml:space="preserve"> RX(8) 13 00 BB 03 C8 D4 83 00 </t>
  </si>
  <si>
    <t xml:space="preserve"> TX(8) 13 00 BB 03 C8 D4 83 00 </t>
  </si>
  <si>
    <t xml:space="preserve">*RX(8) 11 00 1F D4 83 00 00 00 </t>
  </si>
  <si>
    <t xml:space="preserve">*TX(8) 11 00 BA 03 00 00 00 00 </t>
  </si>
  <si>
    <t xml:space="preserve"> RX(8) 13 00 BA 03 1F D4 83 00 </t>
  </si>
  <si>
    <t xml:space="preserve"> TX(8) 13 00 BA 03 1F D4 83 00 </t>
  </si>
  <si>
    <t xml:space="preserve">*RX(8) 11 00 75 D3 83 00 00 00 </t>
  </si>
  <si>
    <t xml:space="preserve">*TX(8) 11 00 B9 03 00 00 00 00 </t>
  </si>
  <si>
    <t xml:space="preserve"> RX(8) 13 00 B9 03 75 D3 83 00 </t>
  </si>
  <si>
    <t xml:space="preserve"> TX(8) 13 00 B9 03 75 D3 83 00 </t>
  </si>
  <si>
    <t xml:space="preserve">*RX(8) 11 00 CA D2 83 00 00 00 </t>
  </si>
  <si>
    <t xml:space="preserve">*TX(8) 11 00 B8 03 00 00 00 00 </t>
  </si>
  <si>
    <t xml:space="preserve"> RX(8) 13 00 B8 03 CA D2 83 00 </t>
  </si>
  <si>
    <t xml:space="preserve"> TX(8) 13 00 B8 03 CA D2 83 00 </t>
  </si>
  <si>
    <t xml:space="preserve">*RX(8) 11 00 1F D2 83 00 00 00 </t>
  </si>
  <si>
    <t xml:space="preserve">*TX(8) 11 00 B7 03 00 00 00 00 </t>
  </si>
  <si>
    <t xml:space="preserve"> RX(8) 13 00 B7 03 1F D2 83 00 </t>
  </si>
  <si>
    <t xml:space="preserve"> TX(8) 13 00 B7 03 1F D2 83 00 </t>
  </si>
  <si>
    <t xml:space="preserve">*RX(8) 11 00 74 D1 83 00 00 00 </t>
  </si>
  <si>
    <t xml:space="preserve">*TX(8) 11 00 B6 03 00 00 00 00 </t>
  </si>
  <si>
    <t xml:space="preserve"> RX(8) 13 00 B6 03 74 D1 83 00 </t>
  </si>
  <si>
    <t xml:space="preserve"> TX(8) 13 00 B6 03 74 D1 83 00 </t>
  </si>
  <si>
    <t xml:space="preserve">*RX(8) 11 00 C8 D0 83 00 00 00 </t>
  </si>
  <si>
    <t xml:space="preserve">*TX(8) 11 00 B5 03 00 00 00 00 </t>
  </si>
  <si>
    <t xml:space="preserve"> RX(8) 13 00 B5 03 C8 D0 83 00 </t>
  </si>
  <si>
    <t xml:space="preserve"> TX(8) 13 00 B5 03 C8 D0 83 00 </t>
  </si>
  <si>
    <t xml:space="preserve">*RX(8) 11 00 1C D0 83 00 00 00 </t>
  </si>
  <si>
    <t xml:space="preserve">*TX(8) 11 00 B4 03 00 00 00 00 </t>
  </si>
  <si>
    <t xml:space="preserve"> RX(8) 13 00 B4 03 1C D0 83 00 </t>
  </si>
  <si>
    <t xml:space="preserve"> TX(8) 13 00 B4 03 1C D0 83 00 </t>
  </si>
  <si>
    <t xml:space="preserve">*RX(8) 11 00 70 CF 83 00 00 00 </t>
  </si>
  <si>
    <t xml:space="preserve">*TX(8) 11 00 B3 03 00 00 00 00 </t>
  </si>
  <si>
    <t xml:space="preserve"> RX(8) 13 00 B3 03 70 CF 83 00 </t>
  </si>
  <si>
    <t xml:space="preserve"> TX(8) 13 00 B3 03 70 CF 83 00 </t>
  </si>
  <si>
    <t xml:space="preserve">*RX(8) 11 00 C3 CE 83 00 00 00 </t>
  </si>
  <si>
    <t xml:space="preserve">*TX(8) 11 00 B2 03 00 00 00 00 </t>
  </si>
  <si>
    <t xml:space="preserve"> RX(8) 13 00 B2 03 C3 CE 83 00 </t>
  </si>
  <si>
    <t xml:space="preserve"> TX(8) 13 00 B2 03 C3 CE 83 00 </t>
  </si>
  <si>
    <t xml:space="preserve">*RX(8) 11 00 16 CE 83 00 00 00 </t>
  </si>
  <si>
    <t xml:space="preserve">*TX(8) 11 00 B1 03 00 00 00 00 </t>
  </si>
  <si>
    <t xml:space="preserve"> RX(8) 13 00 B1 03 16 CE 83 00 </t>
  </si>
  <si>
    <t xml:space="preserve"> TX(8) 13 00 B1 03 16 CE 83 00 </t>
  </si>
  <si>
    <t xml:space="preserve">*RX(8) 11 00 69 CD 83 00 00 00 </t>
  </si>
  <si>
    <t xml:space="preserve">*TX(8) 11 00 B0 03 00 00 00 00 </t>
  </si>
  <si>
    <t xml:space="preserve"> RX(8) 13 00 B0 03 69 CD 83 00 </t>
  </si>
  <si>
    <t xml:space="preserve"> TX(8) 13 00 B0 03 69 CD 83 00 </t>
  </si>
  <si>
    <t xml:space="preserve">*RX(8) 11 00 BB CC 83 00 00 00 </t>
  </si>
  <si>
    <t xml:space="preserve">*TX(8) 11 00 AF 03 00 00 00 00 </t>
  </si>
  <si>
    <t xml:space="preserve"> RX(8) 13 00 AF 03 BB CC 83 00 </t>
  </si>
  <si>
    <t xml:space="preserve"> TX(8) 13 00 AF 03 BB CC 83 00 </t>
  </si>
  <si>
    <t xml:space="preserve">*RX(8) 11 00 0C CC 83 00 00 00 </t>
  </si>
  <si>
    <t xml:space="preserve">*TX(8) 11 00 AE 03 00 00 00 00 </t>
  </si>
  <si>
    <t xml:space="preserve"> RX(8) 13 00 AE 03 0C CC 83 00 </t>
  </si>
  <si>
    <t xml:space="preserve"> TX(8) 13 00 AE 03 0C CC 83 00 </t>
  </si>
  <si>
    <t xml:space="preserve">*RX(8) 11 00 5D CB 83 00 00 00 </t>
  </si>
  <si>
    <t xml:space="preserve">*TX(8) 11 00 AD 03 00 00 00 00 </t>
  </si>
  <si>
    <t xml:space="preserve"> RX(8) 13 00 AD 03 5D CB 83 00 </t>
  </si>
  <si>
    <t xml:space="preserve"> TX(8) 13 00 AD 03 5D CB 83 00 </t>
  </si>
  <si>
    <t xml:space="preserve">*RX(8) 11 00 AE CA 83 00 00 00 </t>
  </si>
  <si>
    <t xml:space="preserve">*TX(8) 11 00 AC 03 00 00 00 00 </t>
  </si>
  <si>
    <t xml:space="preserve"> RX(8) 13 00 AC 03 AE CA 83 00 </t>
  </si>
  <si>
    <t xml:space="preserve"> TX(8) 13 00 AC 03 AE CA 83 00 </t>
  </si>
  <si>
    <t xml:space="preserve">*RX(8) 11 00 FE C9 83 00 00 00 </t>
  </si>
  <si>
    <t xml:space="preserve">*TX(8) 11 00 AB 03 00 00 00 00 </t>
  </si>
  <si>
    <t xml:space="preserve"> RX(8) 13 00 AB 03 FE C9 83 00 </t>
  </si>
  <si>
    <t xml:space="preserve"> TX(8) 13 00 AB 03 FE C9 83 00 </t>
  </si>
  <si>
    <t xml:space="preserve">*RX(8) 11 00 4E C9 83 00 00 00 </t>
  </si>
  <si>
    <t xml:space="preserve">*TX(8) 11 00 AA 03 00 00 00 00 </t>
  </si>
  <si>
    <t xml:space="preserve"> RX(8) 13 00 AA 03 4E C9 83 00 </t>
  </si>
  <si>
    <t xml:space="preserve"> TX(8) 13 00 AA 03 4E C9 83 00 </t>
  </si>
  <si>
    <t xml:space="preserve">*RX(8) 11 00 9E C8 83 00 00 00 </t>
  </si>
  <si>
    <t xml:space="preserve">*TX(8) 11 00 A9 03 00 00 00 00 </t>
  </si>
  <si>
    <t xml:space="preserve"> RX(8) 13 00 A9 03 9E C8 83 00 </t>
  </si>
  <si>
    <t xml:space="preserve"> TX(8) 13 00 A9 03 9E C8 83 00 </t>
  </si>
  <si>
    <t xml:space="preserve">*RX(8) 11 00 ED C7 83 00 00 00 </t>
  </si>
  <si>
    <t xml:space="preserve">*TX(8) 11 00 A8 03 00 00 00 00 </t>
  </si>
  <si>
    <t xml:space="preserve"> RX(8) 13 00 A8 03 ED C7 83 00 </t>
  </si>
  <si>
    <t xml:space="preserve"> TX(8) 13 00 A8 03 ED C7 83 00 </t>
  </si>
  <si>
    <t xml:space="preserve">*RX(8) 11 00 3C C7 83 00 00 00 </t>
  </si>
  <si>
    <t xml:space="preserve">*TX(8) 11 00 A7 03 00 00 00 00 </t>
  </si>
  <si>
    <t xml:space="preserve"> RX(8) 13 00 A7 03 3C C7 83 00 </t>
  </si>
  <si>
    <t xml:space="preserve"> TX(8) 13 00 A7 03 3C C7 83 00 </t>
  </si>
  <si>
    <t xml:space="preserve">*RX(8) 11 00 8A C6 83 00 00 00 </t>
  </si>
  <si>
    <t xml:space="preserve">*TX(8) 11 00 A6 03 00 00 00 00 </t>
  </si>
  <si>
    <t xml:space="preserve"> RX(8) 13 00 A6 03 8A C6 83 00 </t>
  </si>
  <si>
    <t xml:space="preserve"> TX(8) 13 00 A6 03 8A C6 83 00 </t>
  </si>
  <si>
    <t xml:space="preserve">*RX(8) 11 00 D8 C5 83 00 00 00 </t>
  </si>
  <si>
    <t xml:space="preserve">*TX(8) 11 00 A5 03 00 00 00 00 </t>
  </si>
  <si>
    <t xml:space="preserve"> RX(8) 13 00 A5 03 D8 C5 83 00 </t>
  </si>
  <si>
    <t xml:space="preserve"> TX(8) 13 00 A5 03 D8 C5 83 00 </t>
  </si>
  <si>
    <t xml:space="preserve">*RX(8) 11 00 25 C5 83 00 00 00 </t>
  </si>
  <si>
    <t xml:space="preserve">*TX(8) 11 00 A4 03 00 00 00 00 </t>
  </si>
  <si>
    <t xml:space="preserve"> RX(8) 13 00 A4 03 25 C5 83 00 </t>
  </si>
  <si>
    <t xml:space="preserve"> TX(8) 13 00 A4 03 25 C5 83 00 </t>
  </si>
  <si>
    <t xml:space="preserve">*RX(8) 11 00 72 C4 83 00 00 00 </t>
  </si>
  <si>
    <t xml:space="preserve">*TX(8) 11 00 A3 03 00 00 00 00 </t>
  </si>
  <si>
    <t xml:space="preserve"> RX(8) 13 00 A3 03 72 C4 83 00 </t>
  </si>
  <si>
    <t xml:space="preserve"> TX(8) 13 00 A3 03 72 C4 83 00 </t>
  </si>
  <si>
    <t xml:space="preserve">*RX(8) 11 00 BE C3 83 00 00 00 </t>
  </si>
  <si>
    <t xml:space="preserve">*TX(8) 11 00 A2 03 00 00 00 00 </t>
  </si>
  <si>
    <t xml:space="preserve"> RX(8) 13 00 A2 03 BE C3 83 00 </t>
  </si>
  <si>
    <t xml:space="preserve"> TX(8) 13 00 A2 03 BE C3 83 00 </t>
  </si>
  <si>
    <t xml:space="preserve">*RX(8) 11 00 0A C3 83 00 00 00 </t>
  </si>
  <si>
    <t xml:space="preserve">*TX(8) 11 00 A1 03 00 00 00 00 </t>
  </si>
  <si>
    <t xml:space="preserve"> RX(8) 13 00 A1 03 0A C3 83 00 </t>
  </si>
  <si>
    <t xml:space="preserve"> TX(8) 13 00 A1 03 0A C3 83 00 </t>
  </si>
  <si>
    <t xml:space="preserve">*RX(8) 11 00 56 C2 83 00 00 00 </t>
  </si>
  <si>
    <t xml:space="preserve">*TX(8) 11 00 A0 03 00 00 00 00 </t>
  </si>
  <si>
    <t xml:space="preserve"> RX(8) 13 00 A0 03 56 C2 83 00 </t>
  </si>
  <si>
    <t xml:space="preserve"> TX(8) 13 00 A0 03 56 C2 83 00 </t>
  </si>
  <si>
    <t xml:space="preserve">*RX(8) 11 00 A1 C1 83 00 00 00 </t>
  </si>
  <si>
    <t xml:space="preserve">*TX(8) 11 00 9F 03 00 00 00 00 </t>
  </si>
  <si>
    <t xml:space="preserve"> RX(8) 13 00 9F 03 A1 C1 83 00 </t>
  </si>
  <si>
    <t xml:space="preserve"> TX(8) 13 00 9F 03 A1 C1 83 00 </t>
  </si>
  <si>
    <t xml:space="preserve">*RX(8) 11 00 EC C0 83 00 00 00 </t>
  </si>
  <si>
    <t xml:space="preserve">*TX(8) 11 00 9E 03 00 00 00 00 </t>
  </si>
  <si>
    <t xml:space="preserve"> RX(8) 13 00 9E 03 EC C0 83 00 </t>
  </si>
  <si>
    <t xml:space="preserve"> TX(8) 13 00 9E 03 EC C0 83 00 </t>
  </si>
  <si>
    <t xml:space="preserve">*RX(8) 11 00 36 C0 83 00 00 00 </t>
  </si>
  <si>
    <t xml:space="preserve">*TX(8) 11 00 9D 03 00 00 00 00 </t>
  </si>
  <si>
    <t xml:space="preserve"> RX(8) 13 00 9D 03 36 C0 83 00 </t>
  </si>
  <si>
    <t xml:space="preserve"> TX(8) 13 00 9D 03 36 C0 83 00 </t>
  </si>
  <si>
    <t xml:space="preserve">*RX(8) 11 00 80 BF 83 00 00 00 </t>
  </si>
  <si>
    <t xml:space="preserve">*TX(8) 11 00 9C 03 00 00 00 00 </t>
  </si>
  <si>
    <t xml:space="preserve"> RX(8) 13 00 9C 03 80 BF 83 00 </t>
  </si>
  <si>
    <t xml:space="preserve"> TX(8) 13 00 9C 03 80 BF 83 00 </t>
  </si>
  <si>
    <t xml:space="preserve">*RX(8) 11 00 C9 BE 83 00 00 00 </t>
  </si>
  <si>
    <t xml:space="preserve">*TX(8) 11 00 9B 03 00 00 00 00 </t>
  </si>
  <si>
    <t xml:space="preserve"> RX(8) 13 00 9B 03 C9 BE 83 00 </t>
  </si>
  <si>
    <t xml:space="preserve"> TX(8) 13 00 9B 03 C9 BE 83 00 </t>
  </si>
  <si>
    <t xml:space="preserve">*RX(8) 11 00 12 BE 83 00 00 00 </t>
  </si>
  <si>
    <t xml:space="preserve">*TX(8) 11 00 9A 03 00 00 00 00 </t>
  </si>
  <si>
    <t xml:space="preserve"> RX(8) 13 00 9A 03 12 BE 83 00 </t>
  </si>
  <si>
    <t xml:space="preserve"> TX(8) 13 00 9A 03 12 BE 83 00 </t>
  </si>
  <si>
    <t xml:space="preserve">*RX(8) 11 00 5A BD 83 00 00 00 </t>
  </si>
  <si>
    <t xml:space="preserve">*TX(8) 11 00 99 03 00 00 00 00 </t>
  </si>
  <si>
    <t xml:space="preserve"> RX(8) 13 00 99 03 5A BD 83 00 </t>
  </si>
  <si>
    <t xml:space="preserve"> TX(8) 13 00 99 03 5A BD 83 00 </t>
  </si>
  <si>
    <t xml:space="preserve">*RX(8) 11 00 A2 BC 83 00 00 00 </t>
  </si>
  <si>
    <t xml:space="preserve">*TX(8) 11 00 98 03 00 00 00 00 </t>
  </si>
  <si>
    <t xml:space="preserve"> RX(8) 13 00 98 03 A2 BC 83 00 </t>
  </si>
  <si>
    <t xml:space="preserve"> TX(8) 13 00 98 03 A2 BC 83 00 </t>
  </si>
  <si>
    <t xml:space="preserve">*RX(8) 11 00 E9 BB 83 00 00 00 </t>
  </si>
  <si>
    <t xml:space="preserve">*TX(8) 11 00 97 03 00 00 00 00 </t>
  </si>
  <si>
    <t xml:space="preserve"> RX(8) 13 00 97 03 E9 BB 83 00 </t>
  </si>
  <si>
    <t xml:space="preserve"> TX(8) 13 00 97 03 E9 BB 83 00 </t>
  </si>
  <si>
    <t xml:space="preserve">*RX(8) 11 00 30 BB 83 00 00 00 </t>
  </si>
  <si>
    <t xml:space="preserve">*TX(8) 11 00 96 03 00 00 00 00 </t>
  </si>
  <si>
    <t xml:space="preserve"> RX(8) 13 00 96 03 30 BB 83 00 </t>
  </si>
  <si>
    <t xml:space="preserve"> TX(8) 13 00 96 03 30 BB 83 00 </t>
  </si>
  <si>
    <t xml:space="preserve">*RX(8) 11 00 76 BA 83 00 00 00 </t>
  </si>
  <si>
    <t xml:space="preserve">*TX(8) 11 00 95 03 00 00 00 00 </t>
  </si>
  <si>
    <t xml:space="preserve"> RX(8) 13 00 95 03 76 BA 83 00 </t>
  </si>
  <si>
    <t xml:space="preserve"> TX(8) 13 00 95 03 76 BA 83 00 </t>
  </si>
  <si>
    <t xml:space="preserve">*RX(8) 11 00 BC B9 83 00 00 00 </t>
  </si>
  <si>
    <t xml:space="preserve">*TX(8) 11 00 94 03 00 00 00 00 </t>
  </si>
  <si>
    <t xml:space="preserve"> RX(8) 13 00 94 03 BC B9 83 00 </t>
  </si>
  <si>
    <t xml:space="preserve"> TX(8) 13 00 94 03 BC B9 83 00 </t>
  </si>
  <si>
    <t xml:space="preserve">*RX(8) 11 00 02 B9 83 00 00 00 </t>
  </si>
  <si>
    <t xml:space="preserve">*TX(8) 11 00 93 03 00 00 00 00 </t>
  </si>
  <si>
    <t xml:space="preserve"> RX(8) 13 00 93 03 02 B9 83 00 </t>
  </si>
  <si>
    <t xml:space="preserve"> TX(8) 13 00 93 03 02 B9 83 00 </t>
  </si>
  <si>
    <t xml:space="preserve">*RX(8) 11 00 47 B8 83 00 00 00 </t>
  </si>
  <si>
    <t xml:space="preserve">*TX(8) 11 00 92 03 00 00 00 00 </t>
  </si>
  <si>
    <t xml:space="preserve"> RX(8) 13 00 92 03 47 B8 83 00 </t>
  </si>
  <si>
    <t xml:space="preserve"> TX(8) 13 00 92 03 47 B8 83 00 </t>
  </si>
  <si>
    <t xml:space="preserve">*RX(8) 11 00 8B B7 83 00 00 00 </t>
  </si>
  <si>
    <t xml:space="preserve">*TX(8) 11 00 91 03 00 00 00 00 </t>
  </si>
  <si>
    <t xml:space="preserve"> RX(8) 13 00 91 03 8B B7 83 00 </t>
  </si>
  <si>
    <t xml:space="preserve"> TX(8) 13 00 91 03 8B B7 83 00 </t>
  </si>
  <si>
    <t xml:space="preserve">*RX(8) 11 00 CF B6 83 00 00 00 </t>
  </si>
  <si>
    <t xml:space="preserve">*TX(8) 11 00 90 03 00 00 00 00 </t>
  </si>
  <si>
    <t xml:space="preserve"> RX(8) 13 00 90 03 CF B6 83 00 </t>
  </si>
  <si>
    <t xml:space="preserve"> TX(8) 13 00 90 03 CF B6 83 00 </t>
  </si>
  <si>
    <t xml:space="preserve">*RX(8) 11 00 12 B6 83 00 00 00 </t>
  </si>
  <si>
    <t xml:space="preserve">*TX(8) 11 00 8F 03 00 00 00 00 </t>
  </si>
  <si>
    <t xml:space="preserve"> RX(8) 13 00 8F 03 12 B6 83 00 </t>
  </si>
  <si>
    <t xml:space="preserve"> TX(8) 13 00 8F 03 12 B6 83 00 </t>
  </si>
  <si>
    <t xml:space="preserve">*RX(8) 11 00 55 B5 83 00 00 00 </t>
  </si>
  <si>
    <t xml:space="preserve">*TX(8) 11 00 8E 03 00 00 00 00 </t>
  </si>
  <si>
    <t xml:space="preserve"> RX(8) 13 00 8E 03 55 B5 83 00 </t>
  </si>
  <si>
    <t xml:space="preserve"> TX(8) 13 00 8E 03 55 B5 83 00 </t>
  </si>
  <si>
    <t xml:space="preserve">*RX(8) 11 00 97 B4 83 00 00 00 </t>
  </si>
  <si>
    <t xml:space="preserve">*TX(8) 11 00 8D 03 00 00 00 00 </t>
  </si>
  <si>
    <t xml:space="preserve"> RX(8) 13 00 8D 03 97 B4 83 00 </t>
  </si>
  <si>
    <t xml:space="preserve"> TX(8) 13 00 8D 03 97 B4 83 00 </t>
  </si>
  <si>
    <t xml:space="preserve">*RX(8) 11 00 D9 B3 83 00 00 00 </t>
  </si>
  <si>
    <t xml:space="preserve">*TX(8) 11 00 8C 03 00 00 00 00 </t>
  </si>
  <si>
    <t xml:space="preserve"> RX(8) 13 00 8C 03 D9 B3 83 00 </t>
  </si>
  <si>
    <t xml:space="preserve"> TX(8) 13 00 8C 03 D9 B3 83 00 </t>
  </si>
  <si>
    <t xml:space="preserve">*RX(8) 11 00 1A B3 83 00 00 00 </t>
  </si>
  <si>
    <t xml:space="preserve">*TX(8) 11 00 8B 03 00 00 00 00 </t>
  </si>
  <si>
    <t xml:space="preserve"> RX(8) 13 00 8B 03 1A B3 83 00 </t>
  </si>
  <si>
    <t xml:space="preserve"> TX(8) 13 00 8B 03 1A B3 83 00 </t>
  </si>
  <si>
    <t xml:space="preserve">*RX(8) 11 00 5B B2 83 00 00 00 </t>
  </si>
  <si>
    <t xml:space="preserve">*TX(8) 11 00 8A 03 00 00 00 00 </t>
  </si>
  <si>
    <t xml:space="preserve"> RX(8) 13 00 8A 03 5B B2 83 00 </t>
  </si>
  <si>
    <t xml:space="preserve"> TX(8) 13 00 8A 03 5B B2 83 00 </t>
  </si>
  <si>
    <t xml:space="preserve">*RX(8) 11 00 9B B1 83 00 00 00 </t>
  </si>
  <si>
    <t xml:space="preserve">*TX(8) 11 00 89 03 00 00 00 00 </t>
  </si>
  <si>
    <t xml:space="preserve"> RX(8) 13 00 89 03 9B B1 83 00 </t>
  </si>
  <si>
    <t xml:space="preserve"> TX(8) 13 00 89 03 9B B1 83 00 </t>
  </si>
  <si>
    <t xml:space="preserve">*RX(8) 11 00 DA B0 83 00 00 00 </t>
  </si>
  <si>
    <t xml:space="preserve">*TX(8) 11 00 88 03 00 00 00 00 </t>
  </si>
  <si>
    <t xml:space="preserve"> RX(8) 13 00 88 03 DA B0 83 00 </t>
  </si>
  <si>
    <t xml:space="preserve"> TX(8) 13 00 88 03 DA B0 83 00 </t>
  </si>
  <si>
    <t xml:space="preserve">*RX(8) 11 00 19 B0 83 00 00 00 </t>
  </si>
  <si>
    <t xml:space="preserve">*TX(8) 11 00 87 03 00 00 00 00 </t>
  </si>
  <si>
    <t xml:space="preserve"> RX(8) 13 00 87 03 19 B0 83 00 </t>
  </si>
  <si>
    <t xml:space="preserve"> TX(8) 13 00 87 03 19 B0 83 00 </t>
  </si>
  <si>
    <t xml:space="preserve">*RX(8) 11 00 58 AF 83 00 00 00 </t>
  </si>
  <si>
    <t xml:space="preserve">*TX(8) 11 00 86 03 00 00 00 00 </t>
  </si>
  <si>
    <t xml:space="preserve"> RX(8) 13 00 86 03 58 AF 83 00 </t>
  </si>
  <si>
    <t xml:space="preserve"> TX(8) 13 00 86 03 58 AF 83 00 </t>
  </si>
  <si>
    <t xml:space="preserve">*RX(8) 11 00 96 AE 83 00 00 00 </t>
  </si>
  <si>
    <t xml:space="preserve">*TX(8) 11 00 85 03 00 00 00 00 </t>
  </si>
  <si>
    <t xml:space="preserve"> RX(8) 13 00 85 03 96 AE 83 00 </t>
  </si>
  <si>
    <t xml:space="preserve"> TX(8) 13 00 85 03 96 AE 83 00 </t>
  </si>
  <si>
    <t xml:space="preserve">*RX(8) 11 00 D3 AD 83 00 00 00 </t>
  </si>
  <si>
    <t xml:space="preserve">*TX(8) 11 00 84 03 00 00 00 00 </t>
  </si>
  <si>
    <t xml:space="preserve"> RX(8) 13 00 84 03 D3 AD 83 00 </t>
  </si>
  <si>
    <t xml:space="preserve"> TX(8) 13 00 84 03 D3 AD 83 00 </t>
  </si>
  <si>
    <t xml:space="preserve">*RX(8) 11 00 10 AD 83 00 00 00 </t>
  </si>
  <si>
    <t xml:space="preserve">*TX(8) 11 00 83 03 00 00 00 00 </t>
  </si>
  <si>
    <t xml:space="preserve"> RX(8) 13 00 83 03 10 AD 83 00 </t>
  </si>
  <si>
    <t xml:space="preserve"> TX(8) 13 00 83 03 10 AD 83 00 </t>
  </si>
  <si>
    <t xml:space="preserve">*RX(8) 11 00 4C AC 83 00 00 00 </t>
  </si>
  <si>
    <t xml:space="preserve">*TX(8) 11 00 82 03 00 00 00 00 </t>
  </si>
  <si>
    <t xml:space="preserve"> RX(8) 13 00 82 03 4C AC 83 00 </t>
  </si>
  <si>
    <t xml:space="preserve"> TX(8) 13 00 82 03 4C AC 83 00 </t>
  </si>
  <si>
    <t xml:space="preserve">*RX(8) 11 00 88 AB 83 00 00 00 </t>
  </si>
  <si>
    <t xml:space="preserve">*TX(8) 11 00 81 03 00 00 00 00 </t>
  </si>
  <si>
    <t xml:space="preserve"> RX(8) 13 00 81 03 88 AB 83 00 </t>
  </si>
  <si>
    <t xml:space="preserve"> TX(8) 13 00 81 03 88 AB 83 00 </t>
  </si>
  <si>
    <t xml:space="preserve">*RX(8) 11 00 C3 AA 83 00 00 00 </t>
  </si>
  <si>
    <t xml:space="preserve">*TX(8) 11 00 80 03 00 00 00 00 </t>
  </si>
  <si>
    <t xml:space="preserve"> RX(8) 13 00 80 03 C3 AA 83 00 </t>
  </si>
  <si>
    <t xml:space="preserve"> TX(8) 13 00 80 03 C3 AA 83 00 </t>
  </si>
  <si>
    <t xml:space="preserve">*RX(8) 11 00 FD A9 83 00 00 00 </t>
  </si>
  <si>
    <t xml:space="preserve">*TX(8) 11 00 7F 03 00 00 00 00 </t>
  </si>
  <si>
    <t xml:space="preserve"> RX(8) 13 00 7F 03 FD A9 83 00 </t>
  </si>
  <si>
    <t xml:space="preserve"> TX(8) 13 00 7F 03 FD A9 83 00 </t>
  </si>
  <si>
    <t xml:space="preserve">*RX(8) 11 00 37 A9 83 00 00 00 </t>
  </si>
  <si>
    <t xml:space="preserve">*TX(8) 11 00 7E 03 00 00 00 00 </t>
  </si>
  <si>
    <t xml:space="preserve"> RX(8) 13 00 7E 03 37 A9 83 00 </t>
  </si>
  <si>
    <t xml:space="preserve"> TX(8) 13 00 7E 03 37 A9 83 00 </t>
  </si>
  <si>
    <t xml:space="preserve">*RX(8) 11 00 70 A8 83 00 00 00 </t>
  </si>
  <si>
    <t xml:space="preserve">*TX(8) 11 00 7D 03 00 00 00 00 </t>
  </si>
  <si>
    <t xml:space="preserve"> RX(8) 13 00 7D 03 70 A8 83 00 </t>
  </si>
  <si>
    <t xml:space="preserve"> TX(8) 13 00 7D 03 70 A8 83 00 </t>
  </si>
  <si>
    <t xml:space="preserve">*RX(8) 11 00 D5 A7 83 00 00 00 </t>
  </si>
  <si>
    <t xml:space="preserve">*TX(8) 11 00 7C 03 00 00 00 00 </t>
  </si>
  <si>
    <t xml:space="preserve"> RX(8) 13 00 7C 03 D5 A7 83 00 </t>
  </si>
  <si>
    <t xml:space="preserve"> TX(8) 13 00 7C 03 D5 A7 83 00 </t>
  </si>
  <si>
    <t xml:space="preserve">*RX(8) 11 00 3A A7 83 00 00 00 </t>
  </si>
  <si>
    <t xml:space="preserve">*TX(8) 11 00 7B 03 00 00 00 00 </t>
  </si>
  <si>
    <t xml:space="preserve"> RX(8) 13 00 7B 03 3A A7 83 00 </t>
  </si>
  <si>
    <t xml:space="preserve"> TX(8) 13 00 7B 03 3A A7 83 00 </t>
  </si>
  <si>
    <t xml:space="preserve">*RX(8) 11 00 9E A6 83 00 00 00 </t>
  </si>
  <si>
    <t xml:space="preserve">*TX(8) 11 00 7A 03 00 00 00 00 </t>
  </si>
  <si>
    <t xml:space="preserve"> RX(8) 13 00 7A 03 9E A6 83 00 </t>
  </si>
  <si>
    <t xml:space="preserve"> TX(8) 13 00 7A 03 9E A6 83 00 </t>
  </si>
  <si>
    <t xml:space="preserve">*RX(8) 11 00 02 A6 83 00 00 00 </t>
  </si>
  <si>
    <t xml:space="preserve">*TX(8) 11 00 79 03 00 00 00 00 </t>
  </si>
  <si>
    <t xml:space="preserve"> RX(8) 13 00 79 03 02 A6 83 00 </t>
  </si>
  <si>
    <t xml:space="preserve"> TX(8) 13 00 79 03 02 A6 83 00 </t>
  </si>
  <si>
    <t xml:space="preserve">*RX(8) 11 00 66 A5 83 00 00 00 </t>
  </si>
  <si>
    <t xml:space="preserve">*TX(8) 11 00 78 03 00 00 00 00 </t>
  </si>
  <si>
    <t xml:space="preserve"> RX(8) 13 00 78 03 66 A5 83 00 </t>
  </si>
  <si>
    <t xml:space="preserve"> TX(8) 13 00 78 03 66 A5 83 00 </t>
  </si>
  <si>
    <t xml:space="preserve">*RX(8) 11 00 CA A4 83 00 00 00 </t>
  </si>
  <si>
    <t xml:space="preserve">*TX(8) 11 00 77 03 00 00 00 00 </t>
  </si>
  <si>
    <t xml:space="preserve"> RX(8) 13 00 77 03 CA A4 83 00 </t>
  </si>
  <si>
    <t xml:space="preserve"> TX(8) 13 00 77 03 CA A4 83 00 </t>
  </si>
  <si>
    <t xml:space="preserve">*RX(8) 11 00 2E A4 83 00 00 00 </t>
  </si>
  <si>
    <t xml:space="preserve">*TX(8) 11 00 76 03 00 00 00 00 </t>
  </si>
  <si>
    <t xml:space="preserve"> RX(8) 13 00 76 03 2E A4 83 00 </t>
  </si>
  <si>
    <t xml:space="preserve"> TX(8) 13 00 76 03 2E A4 83 00 </t>
  </si>
  <si>
    <t xml:space="preserve">*RX(8) 11 00 91 A3 83 00 00 00 </t>
  </si>
  <si>
    <t xml:space="preserve">*TX(8) 11 00 75 03 00 00 00 00 </t>
  </si>
  <si>
    <t xml:space="preserve"> RX(8) 13 00 75 03 91 A3 83 00 </t>
  </si>
  <si>
    <t xml:space="preserve"> TX(8) 13 00 75 03 91 A3 83 00 </t>
  </si>
  <si>
    <t xml:space="preserve">*RX(8) 11 00 F4 A2 83 00 00 00 </t>
  </si>
  <si>
    <t xml:space="preserve">*TX(8) 11 00 74 03 00 00 00 00 </t>
  </si>
  <si>
    <t xml:space="preserve"> RX(8) 13 00 74 03 F4 A2 83 00 </t>
  </si>
  <si>
    <t xml:space="preserve"> TX(8) 13 00 74 03 F4 A2 83 00 </t>
  </si>
  <si>
    <t xml:space="preserve">*RX(8) 11 00 57 A2 83 00 00 00 </t>
  </si>
  <si>
    <t xml:space="preserve">*TX(8) 11 00 73 03 00 00 00 00 </t>
  </si>
  <si>
    <t xml:space="preserve"> RX(8) 13 00 73 03 57 A2 83 00 </t>
  </si>
  <si>
    <t xml:space="preserve"> TX(8) 13 00 73 03 57 A2 83 00 </t>
  </si>
  <si>
    <t xml:space="preserve">*RX(8) 11 00 BA A1 83 00 00 00 </t>
  </si>
  <si>
    <t xml:space="preserve">*TX(8) 11 00 72 03 00 00 00 00 </t>
  </si>
  <si>
    <t xml:space="preserve"> RX(8) 13 00 72 03 BA A1 83 00 </t>
  </si>
  <si>
    <t xml:space="preserve"> TX(8) 13 00 72 03 BA A1 83 00 </t>
  </si>
  <si>
    <t xml:space="preserve">*RX(8) 11 00 1C A1 83 00 00 00 </t>
  </si>
  <si>
    <t xml:space="preserve">*TX(8) 11 00 71 03 00 00 00 00 </t>
  </si>
  <si>
    <t xml:space="preserve"> RX(8) 13 00 71 03 1C A1 83 00 </t>
  </si>
  <si>
    <t xml:space="preserve"> TX(8) 13 00 71 03 1C A1 83 00 </t>
  </si>
  <si>
    <t xml:space="preserve">*RX(8) 11 00 7E A0 83 00 00 00 </t>
  </si>
  <si>
    <t xml:space="preserve">*TX(8) 11 00 70 03 00 00 00 00 </t>
  </si>
  <si>
    <t xml:space="preserve"> RX(8) 13 00 70 03 7E A0 83 00 </t>
  </si>
  <si>
    <t xml:space="preserve"> TX(8) 13 00 70 03 7E A0 83 00 </t>
  </si>
  <si>
    <t xml:space="preserve">*RX(8) 11 00 E0 9F 83 00 00 00 </t>
  </si>
  <si>
    <t xml:space="preserve">*TX(8) 11 00 6F 03 00 00 00 00 </t>
  </si>
  <si>
    <t xml:space="preserve"> RX(8) 13 00 6F 03 E0 9F 83 00 </t>
  </si>
  <si>
    <t xml:space="preserve"> TX(8) 13 00 6F 03 E0 9F 83 00 </t>
  </si>
  <si>
    <t xml:space="preserve">*RX(8) 11 00 42 9F 83 00 00 00 </t>
  </si>
  <si>
    <t xml:space="preserve">*TX(8) 11 00 6E 03 00 00 00 00 </t>
  </si>
  <si>
    <t xml:space="preserve"> RX(8) 13 00 6E 03 42 9F 83 00 </t>
  </si>
  <si>
    <t xml:space="preserve"> TX(8) 13 00 6E 03 42 9F 83 00 </t>
  </si>
  <si>
    <t xml:space="preserve">*RX(8) 11 00 A3 9E 83 00 00 00 </t>
  </si>
  <si>
    <t xml:space="preserve">*TX(8) 11 00 6D 03 00 00 00 00 </t>
  </si>
  <si>
    <t xml:space="preserve"> RX(8) 13 00 6D 03 A3 9E 83 00 </t>
  </si>
  <si>
    <t xml:space="preserve"> TX(8) 13 00 6D 03 A3 9E 83 00 </t>
  </si>
  <si>
    <t xml:space="preserve">*RX(8) 11 00 05 9E 83 00 00 00 </t>
  </si>
  <si>
    <t xml:space="preserve">*TX(8) 11 00 6C 03 00 00 00 00 </t>
  </si>
  <si>
    <t xml:space="preserve"> RX(8) 13 00 6C 03 05 9E 83 00 </t>
  </si>
  <si>
    <t xml:space="preserve"> TX(8) 13 00 6C 03 05 9E 83 00 </t>
  </si>
  <si>
    <t xml:space="preserve">*RX(8) 11 00 65 9D 83 00 00 00 </t>
  </si>
  <si>
    <t xml:space="preserve">*TX(8) 11 00 6B 03 00 00 00 00 </t>
  </si>
  <si>
    <t xml:space="preserve"> RX(8) 13 00 6B 03 65 9D 83 00 </t>
  </si>
  <si>
    <t xml:space="preserve"> TX(8) 13 00 6B 03 65 9D 83 00 </t>
  </si>
  <si>
    <t xml:space="preserve">*RX(8) 11 00 C6 9C 83 00 00 00 </t>
  </si>
  <si>
    <t xml:space="preserve">*TX(8) 11 00 6A 03 00 00 00 00 </t>
  </si>
  <si>
    <t xml:space="preserve"> RX(8) 13 00 6A 03 C6 9C 83 00 </t>
  </si>
  <si>
    <t xml:space="preserve"> TX(8) 13 00 6A 03 C6 9C 83 00 </t>
  </si>
  <si>
    <t xml:space="preserve">*RX(8) 11 00 26 9C 83 00 00 00 </t>
  </si>
  <si>
    <t xml:space="preserve">*TX(8) 11 00 69 03 00 00 00 00 </t>
  </si>
  <si>
    <t xml:space="preserve"> RX(8) 13 00 69 03 26 9C 83 00 </t>
  </si>
  <si>
    <t xml:space="preserve"> TX(8) 13 00 69 03 26 9C 83 00 </t>
  </si>
  <si>
    <t xml:space="preserve">*RX(8) 11 00 86 9B 83 00 00 00 </t>
  </si>
  <si>
    <t xml:space="preserve">*TX(8) 11 00 68 03 00 00 00 00 </t>
  </si>
  <si>
    <t xml:space="preserve"> RX(8) 13 00 68 03 86 9B 83 00 </t>
  </si>
  <si>
    <t xml:space="preserve"> TX(8) 13 00 68 03 86 9B 83 00 </t>
  </si>
  <si>
    <t xml:space="preserve">*RX(8) 11 00 E6 9A 83 00 00 00 </t>
  </si>
  <si>
    <t xml:space="preserve">*TX(8) 11 00 67 03 00 00 00 00 </t>
  </si>
  <si>
    <t xml:space="preserve"> RX(8) 13 00 67 03 E6 9A 83 00 </t>
  </si>
  <si>
    <t xml:space="preserve"> TX(8) 13 00 67 03 E6 9A 83 00 </t>
  </si>
  <si>
    <t xml:space="preserve">*RX(8) 11 00 46 9A 83 00 00 00 </t>
  </si>
  <si>
    <t xml:space="preserve">*TX(8) 11 00 66 03 00 00 00 00 </t>
  </si>
  <si>
    <t xml:space="preserve"> RX(8) 13 00 66 03 46 9A 83 00 </t>
  </si>
  <si>
    <t xml:space="preserve"> TX(8) 13 00 66 03 46 9A 83 00 </t>
  </si>
  <si>
    <t xml:space="preserve">*RX(8) 11 00 A5 99 83 00 00 00 </t>
  </si>
  <si>
    <t xml:space="preserve">*TX(8) 11 00 65 03 00 00 00 00 </t>
  </si>
  <si>
    <t xml:space="preserve"> RX(8) 13 00 65 03 A5 99 83 00 </t>
  </si>
  <si>
    <t xml:space="preserve"> TX(8) 13 00 65 03 A5 99 83 00 </t>
  </si>
  <si>
    <t xml:space="preserve">*RX(8) 11 00 04 99 83 00 00 00 </t>
  </si>
  <si>
    <t xml:space="preserve">*TX(8) 11 00 64 03 00 00 00 00 </t>
  </si>
  <si>
    <t xml:space="preserve"> RX(8) 13 00 64 03 04 99 83 00 </t>
  </si>
  <si>
    <t xml:space="preserve"> TX(8) 13 00 64 03 04 99 83 00 </t>
  </si>
  <si>
    <t xml:space="preserve">*RX(8) 11 00 63 98 83 00 00 00 </t>
  </si>
  <si>
    <t xml:space="preserve">*TX(8) 11 00 63 03 00 00 00 00 </t>
  </si>
  <si>
    <t xml:space="preserve"> RX(8) 13 00 63 03 63 98 83 00 </t>
  </si>
  <si>
    <t xml:space="preserve"> TX(8) 13 00 63 03 63 98 83 00 </t>
  </si>
  <si>
    <t xml:space="preserve">*RX(8) 11 00 C1 97 83 00 00 00 </t>
  </si>
  <si>
    <t xml:space="preserve">*TX(8) 11 00 62 03 00 00 00 00 </t>
  </si>
  <si>
    <t xml:space="preserve"> RX(8) 13 00 62 03 C1 97 83 00 </t>
  </si>
  <si>
    <t xml:space="preserve"> TX(8) 13 00 62 03 C1 97 83 00 </t>
  </si>
  <si>
    <t xml:space="preserve">*RX(8) 11 00 1F 97 83 00 00 00 </t>
  </si>
  <si>
    <t xml:space="preserve">*TX(8) 11 00 61 03 00 00 00 00 </t>
  </si>
  <si>
    <t xml:space="preserve"> RX(8) 13 00 61 03 1F 97 83 00 </t>
  </si>
  <si>
    <t xml:space="preserve"> TX(8) 13 00 61 03 1F 97 83 00 </t>
  </si>
  <si>
    <t xml:space="preserve">*RX(8) 11 00 7D 96 83 00 00 00 </t>
  </si>
  <si>
    <t xml:space="preserve">*TX(8) 11 00 60 03 00 00 00 00 </t>
  </si>
  <si>
    <t xml:space="preserve"> RX(8) 13 00 60 03 7D 96 83 00 </t>
  </si>
  <si>
    <t xml:space="preserve"> TX(8) 13 00 60 03 7D 96 83 00 </t>
  </si>
  <si>
    <t xml:space="preserve">*RX(8) 11 00 DA 95 83 00 00 00 </t>
  </si>
  <si>
    <t xml:space="preserve">*TX(8) 11 00 5F 03 00 00 00 00 </t>
  </si>
  <si>
    <t xml:space="preserve"> RX(8) 13 00 5F 03 DA 95 83 00 </t>
  </si>
  <si>
    <t xml:space="preserve"> TX(8) 13 00 5F 03 DA 95 83 00 </t>
  </si>
  <si>
    <t xml:space="preserve">*RX(8) 11 00 38 95 83 00 00 00 </t>
  </si>
  <si>
    <t xml:space="preserve">*TX(8) 11 00 5E 03 00 00 00 00 </t>
  </si>
  <si>
    <t xml:space="preserve"> RX(8) 13 00 5E 03 38 95 83 00 </t>
  </si>
  <si>
    <t xml:space="preserve"> TX(8) 13 00 5E 03 38 95 83 00 </t>
  </si>
  <si>
    <t xml:space="preserve">*RX(8) 11 00 95 94 83 00 00 00 </t>
  </si>
  <si>
    <t xml:space="preserve">*TX(8) 11 00 5D 03 00 00 00 00 </t>
  </si>
  <si>
    <t xml:space="preserve"> RX(8) 13 00 5D 03 95 94 83 00 </t>
  </si>
  <si>
    <t xml:space="preserve"> TX(8) 13 00 5D 03 95 94 83 00 </t>
  </si>
  <si>
    <t xml:space="preserve">*RX(8) 11 00 F1 93 83 00 00 00 </t>
  </si>
  <si>
    <t xml:space="preserve">*TX(8) 11 00 5C 03 00 00 00 00 </t>
  </si>
  <si>
    <t xml:space="preserve"> RX(8) 13 00 5C 03 F1 93 83 00 </t>
  </si>
  <si>
    <t xml:space="preserve"> TX(8) 13 00 5C 03 F1 93 83 00 </t>
  </si>
  <si>
    <t xml:space="preserve">*RX(8) 11 00 4D 93 83 00 00 00 </t>
  </si>
  <si>
    <t xml:space="preserve">*TX(8) 11 00 5B 03 00 00 00 00 </t>
  </si>
  <si>
    <t xml:space="preserve"> RX(8) 13 00 5B 03 4D 93 83 00 </t>
  </si>
  <si>
    <t xml:space="preserve"> TX(8) 13 00 5B 03 4D 93 83 00 </t>
  </si>
  <si>
    <t xml:space="preserve">*RX(8) 11 00 A9 92 83 00 00 00 </t>
  </si>
  <si>
    <t xml:space="preserve">*TX(8) 11 00 5A 03 00 00 00 00 </t>
  </si>
  <si>
    <t xml:space="preserve"> RX(8) 13 00 5A 03 A9 92 83 00 </t>
  </si>
  <si>
    <t xml:space="preserve"> TX(8) 13 00 5A 03 A9 92 83 00 </t>
  </si>
  <si>
    <t xml:space="preserve">*RX(8) 11 00 05 92 83 00 00 00 </t>
  </si>
  <si>
    <t xml:space="preserve">*TX(8) 11 00 59 03 00 00 00 00 </t>
  </si>
  <si>
    <t xml:space="preserve"> RX(8) 13 00 59 03 05 92 83 00 </t>
  </si>
  <si>
    <t xml:space="preserve"> TX(8) 13 00 59 03 05 92 83 00 </t>
  </si>
  <si>
    <t xml:space="preserve">*RX(8) 11 00 60 91 83 00 00 00 </t>
  </si>
  <si>
    <t xml:space="preserve">*TX(8) 11 00 58 03 00 00 00 00 </t>
  </si>
  <si>
    <t xml:space="preserve"> RX(8) 13 00 58 03 60 91 83 00 </t>
  </si>
  <si>
    <t xml:space="preserve"> TX(8) 13 00 58 03 60 91 83 00 </t>
  </si>
  <si>
    <t xml:space="preserve">*RX(8) 11 00 BB 90 83 00 00 00 </t>
  </si>
  <si>
    <t xml:space="preserve">*TX(8) 11 00 57 03 00 00 00 00 </t>
  </si>
  <si>
    <t xml:space="preserve"> RX(8) 13 00 57 03 BB 90 83 00 </t>
  </si>
  <si>
    <t xml:space="preserve"> TX(8) 13 00 57 03 BB 90 83 00 </t>
  </si>
  <si>
    <t xml:space="preserve">*RX(8) 11 00 16 90 83 00 00 00 </t>
  </si>
  <si>
    <t xml:space="preserve">*TX(8) 11 00 56 03 00 00 00 00 </t>
  </si>
  <si>
    <t xml:space="preserve"> RX(8) 13 00 56 03 16 90 83 00 </t>
  </si>
  <si>
    <t xml:space="preserve"> TX(8) 13 00 56 03 16 90 83 00 </t>
  </si>
  <si>
    <t xml:space="preserve">*RX(8) 11 00 70 8F 83 00 00 00 </t>
  </si>
  <si>
    <t xml:space="preserve">*TX(8) 11 00 55 03 00 00 00 00 </t>
  </si>
  <si>
    <t xml:space="preserve"> RX(8) 13 00 55 03 70 8F 83 00 </t>
  </si>
  <si>
    <t xml:space="preserve"> TX(8) 13 00 55 03 70 8F 83 00 </t>
  </si>
  <si>
    <t xml:space="preserve">*RX(8) 11 00 CA 8E 83 00 00 00 </t>
  </si>
  <si>
    <t xml:space="preserve">*TX(8) 11 00 54 03 00 00 00 00 </t>
  </si>
  <si>
    <t xml:space="preserve"> RX(8) 13 00 54 03 CA 8E 83 00 </t>
  </si>
  <si>
    <t xml:space="preserve"> TX(8) 13 00 54 03 CA 8E 83 00 </t>
  </si>
  <si>
    <t xml:space="preserve">*RX(8) 11 00 24 8E 83 00 00 00 </t>
  </si>
  <si>
    <t xml:space="preserve">*TX(8) 11 00 53 03 00 00 00 00 </t>
  </si>
  <si>
    <t xml:space="preserve"> RX(8) 13 00 53 03 24 8E 83 00 </t>
  </si>
  <si>
    <t xml:space="preserve"> TX(8) 13 00 53 03 24 8E 83 00 </t>
  </si>
  <si>
    <t xml:space="preserve">*RX(8) 11 00 7D 8D 83 00 00 00 </t>
  </si>
  <si>
    <t xml:space="preserve">*TX(8) 11 00 52 03 00 00 00 00 </t>
  </si>
  <si>
    <t xml:space="preserve"> RX(8) 13 00 52 03 7D 8D 83 00 </t>
  </si>
  <si>
    <t xml:space="preserve"> TX(8) 13 00 52 03 7D 8D 83 00 </t>
  </si>
  <si>
    <t xml:space="preserve">*RX(8) 11 00 D6 8C 83 00 00 00 </t>
  </si>
  <si>
    <t xml:space="preserve">*TX(8) 11 00 51 03 00 00 00 00 </t>
  </si>
  <si>
    <t xml:space="preserve"> RX(8) 13 00 51 03 D6 8C 83 00 </t>
  </si>
  <si>
    <t xml:space="preserve"> TX(8) 13 00 51 03 D6 8C 83 00 </t>
  </si>
  <si>
    <t xml:space="preserve">*RX(8) 11 00 2E 8C 83 00 00 00 </t>
  </si>
  <si>
    <t xml:space="preserve">*TX(8) 11 00 50 03 00 00 00 00 </t>
  </si>
  <si>
    <t xml:space="preserve"> RX(8) 13 00 50 03 2E 8C 83 00 </t>
  </si>
  <si>
    <t xml:space="preserve"> TX(8) 13 00 50 03 2E 8C 83 00 </t>
  </si>
  <si>
    <t xml:space="preserve">*RX(8) 11 00 86 8B 83 00 00 00 </t>
  </si>
  <si>
    <t xml:space="preserve">*TX(8) 11 00 4F 03 00 00 00 00 </t>
  </si>
  <si>
    <t xml:space="preserve"> RX(8) 13 00 4F 03 86 8B 83 00 </t>
  </si>
  <si>
    <t xml:space="preserve"> TX(8) 13 00 4F 03 86 8B 83 00 </t>
  </si>
  <si>
    <t xml:space="preserve">*RX(8) 11 00 DE 8A 83 00 00 00 </t>
  </si>
  <si>
    <t xml:space="preserve">*TX(8) 11 00 4E 03 00 00 00 00 </t>
  </si>
  <si>
    <t xml:space="preserve"> RX(8) 13 00 4E 03 DE 8A 83 00 </t>
  </si>
  <si>
    <t xml:space="preserve"> TX(8) 13 00 4E 03 DE 8A 83 00 </t>
  </si>
  <si>
    <t xml:space="preserve">*RX(8) 11 00 35 8A 83 00 00 00 </t>
  </si>
  <si>
    <t xml:space="preserve">*TX(8) 11 00 4D 03 00 00 00 00 </t>
  </si>
  <si>
    <t xml:space="preserve"> RX(8) 13 00 4D 03 35 8A 83 00 </t>
  </si>
  <si>
    <t xml:space="preserve"> TX(8) 13 00 4D 03 35 8A 83 00 </t>
  </si>
  <si>
    <t xml:space="preserve">*RX(8) 11 00 8C 89 83 00 00 00 </t>
  </si>
  <si>
    <t xml:space="preserve">*TX(8) 11 00 4C 03 00 00 00 00 </t>
  </si>
  <si>
    <t xml:space="preserve"> RX(8) 13 00 4C 03 8C 89 83 00 </t>
  </si>
  <si>
    <t xml:space="preserve"> TX(8) 13 00 4C 03 8C 89 83 00 </t>
  </si>
  <si>
    <t xml:space="preserve">*RX(8) 11 00 E3 88 83 00 00 00 </t>
  </si>
  <si>
    <t xml:space="preserve">*TX(8) 11 00 4B 03 00 00 00 00 </t>
  </si>
  <si>
    <t xml:space="preserve"> RX(8) 13 00 4B 03 E3 88 83 00 </t>
  </si>
  <si>
    <t xml:space="preserve"> TX(8) 13 00 4B 03 E3 88 83 00 </t>
  </si>
  <si>
    <t xml:space="preserve">*RX(8) 11 00 39 88 83 00 00 00 </t>
  </si>
  <si>
    <t xml:space="preserve">*TX(8) 11 00 4A 03 00 00 00 00 </t>
  </si>
  <si>
    <t xml:space="preserve"> RX(8) 13 00 4A 03 39 88 83 00 </t>
  </si>
  <si>
    <t xml:space="preserve"> TX(8) 13 00 4A 03 39 88 83 00 </t>
  </si>
  <si>
    <t xml:space="preserve">*RX(8) 11 00 8F 87 83 00 00 00 </t>
  </si>
  <si>
    <t xml:space="preserve">*TX(8) 11 00 49 03 00 00 00 00 </t>
  </si>
  <si>
    <t xml:space="preserve"> RX(8) 13 00 49 03 8F 87 83 00 </t>
  </si>
  <si>
    <t xml:space="preserve"> TX(8) 13 00 49 03 8F 87 83 00 </t>
  </si>
  <si>
    <t xml:space="preserve">*RX(8) 11 00 E4 86 83 00 00 00 </t>
  </si>
  <si>
    <t xml:space="preserve">*TX(8) 11 00 48 03 00 00 00 00 </t>
  </si>
  <si>
    <t xml:space="preserve"> RX(8) 13 00 48 03 E4 86 83 00 </t>
  </si>
  <si>
    <t xml:space="preserve"> TX(8) 13 00 48 03 E4 86 83 00 </t>
  </si>
  <si>
    <t xml:space="preserve">*RX(8) 11 00 39 86 83 00 00 00 </t>
  </si>
  <si>
    <t xml:space="preserve">*TX(8) 11 00 47 03 00 00 00 00 </t>
  </si>
  <si>
    <t xml:space="preserve"> RX(8) 13 00 47 03 39 86 83 00 </t>
  </si>
  <si>
    <t xml:space="preserve"> TX(8) 13 00 47 03 39 86 83 00 </t>
  </si>
  <si>
    <t xml:space="preserve">*RX(8) 11 00 8D 85 83 00 00 00 </t>
  </si>
  <si>
    <t xml:space="preserve">*TX(8) 11 00 46 03 00 00 00 00 </t>
  </si>
  <si>
    <t xml:space="preserve"> RX(8) 13 00 46 03 8D 85 83 00 </t>
  </si>
  <si>
    <t xml:space="preserve"> TX(8) 13 00 46 03 8D 85 83 00 </t>
  </si>
  <si>
    <t xml:space="preserve">*RX(8) 11 00 E1 84 83 00 00 00 </t>
  </si>
  <si>
    <t xml:space="preserve">*TX(8) 11 00 45 03 00 00 00 00 </t>
  </si>
  <si>
    <t xml:space="preserve"> RX(8) 13 00 45 03 E1 84 83 00 </t>
  </si>
  <si>
    <t xml:space="preserve"> TX(8) 13 00 45 03 E1 84 83 00 </t>
  </si>
  <si>
    <t xml:space="preserve">*RX(8) 11 00 35 84 83 00 00 00 </t>
  </si>
  <si>
    <t xml:space="preserve">*TX(8) 11 00 44 03 00 00 00 00 </t>
  </si>
  <si>
    <t xml:space="preserve"> RX(8) 13 00 44 03 35 84 83 00 </t>
  </si>
  <si>
    <t xml:space="preserve"> TX(8) 13 00 44 03 35 84 83 00 </t>
  </si>
  <si>
    <t xml:space="preserve">*RX(8) 11 00 88 83 83 00 00 00 </t>
  </si>
  <si>
    <t xml:space="preserve">*TX(8) 11 00 43 03 00 00 00 00 </t>
  </si>
  <si>
    <t xml:space="preserve"> RX(8) 13 00 43 03 88 83 83 00 </t>
  </si>
  <si>
    <t xml:space="preserve"> TX(8) 13 00 43 03 88 83 83 00 </t>
  </si>
  <si>
    <t xml:space="preserve">*RX(8) 11 00 DA 82 83 00 00 00 </t>
  </si>
  <si>
    <t xml:space="preserve">*TX(8) 11 00 42 03 00 00 00 00 </t>
  </si>
  <si>
    <t xml:space="preserve"> RX(8) 13 00 42 03 DA 82 83 00 </t>
  </si>
  <si>
    <t xml:space="preserve"> TX(8) 13 00 42 03 DA 82 83 00 </t>
  </si>
  <si>
    <t xml:space="preserve">*RX(8) 11 00 2D 82 83 00 00 00 </t>
  </si>
  <si>
    <t xml:space="preserve">*TX(8) 11 00 41 03 00 00 00 00 </t>
  </si>
  <si>
    <t xml:space="preserve"> RX(8) 13 00 41 03 2D 82 83 00 </t>
  </si>
  <si>
    <t xml:space="preserve"> TX(8) 13 00 41 03 2D 82 83 00 </t>
  </si>
  <si>
    <t xml:space="preserve">*RX(8) 11 00 7E 81 83 00 00 00 </t>
  </si>
  <si>
    <t xml:space="preserve">*TX(8) 11 00 40 03 00 00 00 00 </t>
  </si>
  <si>
    <t xml:space="preserve"> RX(8) 13 00 40 03 7E 81 83 00 </t>
  </si>
  <si>
    <t xml:space="preserve"> TX(8) 13 00 40 03 7E 81 83 00 </t>
  </si>
  <si>
    <t xml:space="preserve">*RX(8) 11 00 CF 80 83 00 00 00 </t>
  </si>
  <si>
    <t xml:space="preserve">*TX(8) 11 00 3F 03 00 00 00 00 </t>
  </si>
  <si>
    <t xml:space="preserve"> RX(8) 13 00 3F 03 CF 80 83 00 </t>
  </si>
  <si>
    <t xml:space="preserve"> TX(8) 13 00 3F 03 CF 80 83 00 </t>
  </si>
  <si>
    <t xml:space="preserve">*RX(8) 11 00 20 80 83 00 00 00 </t>
  </si>
  <si>
    <t xml:space="preserve">*TX(8) 11 00 3E 03 00 00 00 00 </t>
  </si>
  <si>
    <t xml:space="preserve"> RX(8) 13 00 3E 03 20 80 83 00 </t>
  </si>
  <si>
    <t xml:space="preserve"> TX(8) 13 00 3E 03 20 80 83 00 </t>
  </si>
  <si>
    <t xml:space="preserve">*RX(8) 11 00 70 7F 83 00 00 00 </t>
  </si>
  <si>
    <t xml:space="preserve">*TX(8) 11 00 3D 03 00 00 00 00 </t>
  </si>
  <si>
    <t xml:space="preserve"> RX(8) 13 00 3D 03 70 7F 83 00 </t>
  </si>
  <si>
    <t xml:space="preserve"> TX(8) 13 00 3D 03 70 7F 83 00 </t>
  </si>
  <si>
    <t xml:space="preserve">*RX(8) 11 00 C0 7E 83 00 00 00 </t>
  </si>
  <si>
    <t xml:space="preserve">*TX(8) 11 00 3C 03 00 00 00 00 </t>
  </si>
  <si>
    <t xml:space="preserve"> RX(8) 13 00 3C 03 C0 7E 83 00 </t>
  </si>
  <si>
    <t xml:space="preserve"> TX(8) 13 00 3C 03 C0 7E 83 00 </t>
  </si>
  <si>
    <t xml:space="preserve">*RX(8) 11 00 0F 7E 83 00 00 00 </t>
  </si>
  <si>
    <t xml:space="preserve">*TX(8) 11 00 3B 03 00 00 00 00 </t>
  </si>
  <si>
    <t xml:space="preserve"> RX(8) 13 00 3B 03 0F 7E 83 00 </t>
  </si>
  <si>
    <t xml:space="preserve"> TX(8) 13 00 3B 03 0F 7E 83 00 </t>
  </si>
  <si>
    <t xml:space="preserve">*RX(8) 11 00 5E 7D 83 00 00 00 </t>
  </si>
  <si>
    <t xml:space="preserve">*TX(8) 11 00 3A 03 00 00 00 00 </t>
  </si>
  <si>
    <t xml:space="preserve"> RX(8) 13 00 3A 03 5E 7D 83 00 </t>
  </si>
  <si>
    <t xml:space="preserve"> TX(8) 13 00 3A 03 5E 7D 83 00 </t>
  </si>
  <si>
    <t xml:space="preserve">*RX(8) 11 00 AC 7C 83 00 00 00 </t>
  </si>
  <si>
    <t xml:space="preserve">*TX(8) 11 00 39 03 00 00 00 00 </t>
  </si>
  <si>
    <t xml:space="preserve"> RX(8) 13 00 39 03 AC 7C 83 00 </t>
  </si>
  <si>
    <t xml:space="preserve"> TX(8) 13 00 39 03 AC 7C 83 00 </t>
  </si>
  <si>
    <t xml:space="preserve">*RX(8) 11 00 F9 7B 83 00 00 00 </t>
  </si>
  <si>
    <t xml:space="preserve">*TX(8) 11 00 38 03 00 00 00 00 </t>
  </si>
  <si>
    <t xml:space="preserve"> RX(8) 13 00 38 03 F9 7B 83 00 </t>
  </si>
  <si>
    <t xml:space="preserve"> TX(8) 13 00 38 03 F9 7B 83 00 </t>
  </si>
  <si>
    <t xml:space="preserve">*RX(8) 11 00 46 7B 83 00 00 00 </t>
  </si>
  <si>
    <t xml:space="preserve">*TX(8) 11 00 37 03 00 00 00 00 </t>
  </si>
  <si>
    <t xml:space="preserve"> RX(8) 13 00 37 03 46 7B 83 00 </t>
  </si>
  <si>
    <t xml:space="preserve"> TX(8) 13 00 37 03 46 7B 83 00 </t>
  </si>
  <si>
    <t xml:space="preserve">*RX(8) 11 00 92 7A 83 00 00 00 </t>
  </si>
  <si>
    <t xml:space="preserve">*TX(8) 11 00 36 03 00 00 00 00 </t>
  </si>
  <si>
    <t xml:space="preserve"> RX(8) 13 00 36 03 92 7A 83 00 </t>
  </si>
  <si>
    <t xml:space="preserve"> TX(8) 13 00 36 03 92 7A 83 00 </t>
  </si>
  <si>
    <t xml:space="preserve">*RX(8) 11 00 DE 79 83 00 00 00 </t>
  </si>
  <si>
    <t xml:space="preserve">*TX(8) 11 00 35 03 00 00 00 00 </t>
  </si>
  <si>
    <t xml:space="preserve"> RX(8) 13 00 35 03 DE 79 83 00 </t>
  </si>
  <si>
    <t xml:space="preserve"> TX(8) 13 00 35 03 DE 79 83 00 </t>
  </si>
  <si>
    <t xml:space="preserve">*RX(8) 11 00 29 79 83 00 00 00 </t>
  </si>
  <si>
    <t xml:space="preserve">*TX(8) 11 00 34 03 00 00 00 00 </t>
  </si>
  <si>
    <t xml:space="preserve"> RX(8) 13 00 34 03 29 79 83 00 </t>
  </si>
  <si>
    <t xml:space="preserve"> TX(8) 13 00 34 03 29 79 83 00 </t>
  </si>
  <si>
    <t xml:space="preserve">*RX(8) 11 00 73 78 83 00 00 00 </t>
  </si>
  <si>
    <t xml:space="preserve">*TX(8) 11 00 33 03 00 00 00 00 </t>
  </si>
  <si>
    <t xml:space="preserve"> RX(8) 13 00 33 03 73 78 83 00 </t>
  </si>
  <si>
    <t xml:space="preserve"> TX(8) 13 00 33 03 73 78 83 00 </t>
  </si>
  <si>
    <t xml:space="preserve">*RX(8) 11 00 BD 77 83 00 00 00 </t>
  </si>
  <si>
    <t xml:space="preserve">*TX(8) 11 00 32 03 00 00 00 00 </t>
  </si>
  <si>
    <t xml:space="preserve"> RX(8) 13 00 32 03 BD 77 83 00 </t>
  </si>
  <si>
    <t xml:space="preserve"> TX(8) 13 00 32 03 BD 77 83 00 </t>
  </si>
  <si>
    <t xml:space="preserve">*RX(8) 11 00 06 77 83 00 00 00 </t>
  </si>
  <si>
    <t xml:space="preserve">*TX(8) 11 00 31 03 00 00 00 00 </t>
  </si>
  <si>
    <t xml:space="preserve"> RX(8) 13 00 31 03 06 77 83 00 </t>
  </si>
  <si>
    <t xml:space="preserve"> TX(8) 13 00 31 03 06 77 83 00 </t>
  </si>
  <si>
    <t xml:space="preserve">*RX(8) 11 00 4E 76 83 00 00 00 </t>
  </si>
  <si>
    <t xml:space="preserve">*TX(8) 11 00 30 03 00 00 00 00 </t>
  </si>
  <si>
    <t xml:space="preserve"> RX(8) 13 00 30 03 4E 76 83 00 </t>
  </si>
  <si>
    <t xml:space="preserve"> TX(8) 13 00 30 03 4E 76 83 00 </t>
  </si>
  <si>
    <t xml:space="preserve">*RX(8) 11 00 96 75 83 00 00 00 </t>
  </si>
  <si>
    <t xml:space="preserve">*TX(8) 11 00 2F 03 00 00 00 00 </t>
  </si>
  <si>
    <t xml:space="preserve"> RX(8) 13 00 2F 03 96 75 83 00 </t>
  </si>
  <si>
    <t xml:space="preserve"> TX(8) 13 00 2F 03 96 75 83 00 </t>
  </si>
  <si>
    <t xml:space="preserve">*RX(8) 11 00 DD 74 83 00 00 00 </t>
  </si>
  <si>
    <t xml:space="preserve">*TX(8) 11 00 2E 03 00 00 00 00 </t>
  </si>
  <si>
    <t xml:space="preserve"> RX(8) 13 00 2E 03 DD 74 83 00 </t>
  </si>
  <si>
    <t xml:space="preserve"> TX(8) 13 00 2E 03 DD 74 83 00 </t>
  </si>
  <si>
    <t xml:space="preserve">*RX(8) 11 00 23 74 83 00 00 00 </t>
  </si>
  <si>
    <t xml:space="preserve">*TX(8) 11 00 2D 03 00 00 00 00 </t>
  </si>
  <si>
    <t xml:space="preserve"> RX(8) 13 00 2D 03 23 74 83 00 </t>
  </si>
  <si>
    <t xml:space="preserve"> TX(8) 13 00 2D 03 23 74 83 00 </t>
  </si>
  <si>
    <t xml:space="preserve">*RX(8) 11 00 69 73 83 00 00 00 </t>
  </si>
  <si>
    <t xml:space="preserve">*TX(8) 11 00 2C 03 00 00 00 00 </t>
  </si>
  <si>
    <t xml:space="preserve"> RX(8) 13 00 2C 03 69 73 83 00 </t>
  </si>
  <si>
    <t xml:space="preserve"> TX(8) 13 00 2C 03 69 73 83 00 </t>
  </si>
  <si>
    <t xml:space="preserve">*RX(8) 11 00 AE 72 83 00 00 00 </t>
  </si>
  <si>
    <t xml:space="preserve">*TX(8) 11 00 2B 03 00 00 00 00 </t>
  </si>
  <si>
    <t xml:space="preserve"> RX(8) 13 00 2B 03 AE 72 83 00 </t>
  </si>
  <si>
    <t xml:space="preserve"> TX(8) 13 00 2B 03 AE 72 83 00 </t>
  </si>
  <si>
    <t xml:space="preserve">*RX(8) 11 00 F2 71 83 00 00 00 </t>
  </si>
  <si>
    <t xml:space="preserve">*TX(8) 11 00 2A 03 00 00 00 00 </t>
  </si>
  <si>
    <t xml:space="preserve"> RX(8) 13 00 2A 03 F2 71 83 00 </t>
  </si>
  <si>
    <t xml:space="preserve"> TX(8) 13 00 2A 03 F2 71 83 00 </t>
  </si>
  <si>
    <t xml:space="preserve">*RX(8) 11 00 35 71 83 00 00 00 </t>
  </si>
  <si>
    <t xml:space="preserve">*TX(8) 11 00 29 03 00 00 00 00 </t>
  </si>
  <si>
    <t xml:space="preserve"> RX(8) 13 00 29 03 35 71 83 00 </t>
  </si>
  <si>
    <t xml:space="preserve"> TX(8) 13 00 29 03 35 71 83 00 </t>
  </si>
  <si>
    <t xml:space="preserve">*RX(8) 11 00 77 70 83 00 00 00 </t>
  </si>
  <si>
    <t xml:space="preserve">*TX(8) 11 00 28 03 00 00 00 00 </t>
  </si>
  <si>
    <t xml:space="preserve"> RX(8) 13 00 28 03 77 70 83 00 </t>
  </si>
  <si>
    <t xml:space="preserve"> TX(8) 13 00 28 03 77 70 83 00 </t>
  </si>
  <si>
    <t xml:space="preserve">*RX(8) 11 00 B8 6F 83 00 00 00 </t>
  </si>
  <si>
    <t xml:space="preserve">*TX(8) 11 00 27 03 00 00 00 00 </t>
  </si>
  <si>
    <t xml:space="preserve"> RX(8) 13 00 27 03 B8 6F 83 00 </t>
  </si>
  <si>
    <t xml:space="preserve"> TX(8) 13 00 27 03 B8 6F 83 00 </t>
  </si>
  <si>
    <t xml:space="preserve">*RX(8) 11 00 F9 6E 83 00 00 00 </t>
  </si>
  <si>
    <t xml:space="preserve">*TX(8) 11 00 26 03 00 00 00 00 </t>
  </si>
  <si>
    <t xml:space="preserve"> RX(8) 13 00 26 03 F9 6E 83 00 </t>
  </si>
  <si>
    <t xml:space="preserve"> TX(8) 13 00 26 03 F9 6E 83 00 </t>
  </si>
  <si>
    <t xml:space="preserve">*RX(8) 11 00 38 6E 83 00 00 00 </t>
  </si>
  <si>
    <t xml:space="preserve">*TX(8) 11 00 25 03 00 00 00 00 </t>
  </si>
  <si>
    <t xml:space="preserve"> RX(8) 13 00 25 03 38 6E 83 00 </t>
  </si>
  <si>
    <t xml:space="preserve"> TX(8) 13 00 25 03 38 6E 83 00 </t>
  </si>
  <si>
    <t xml:space="preserve">*RX(8) 11 00 77 6D 83 00 00 00 </t>
  </si>
  <si>
    <t xml:space="preserve">*TX(8) 11 00 24 03 00 00 00 00 </t>
  </si>
  <si>
    <t xml:space="preserve"> RX(8) 13 00 24 03 77 6D 83 00 </t>
  </si>
  <si>
    <t xml:space="preserve"> TX(8) 13 00 24 03 77 6D 83 00 </t>
  </si>
  <si>
    <t xml:space="preserve">*RX(8) 11 00 B4 6C 83 00 00 00 </t>
  </si>
  <si>
    <t xml:space="preserve">*TX(8) 11 00 23 03 00 00 00 00 </t>
  </si>
  <si>
    <t xml:space="preserve"> RX(8) 13 00 23 03 B4 6C 83 00 </t>
  </si>
  <si>
    <t xml:space="preserve"> TX(8) 13 00 23 03 B4 6C 83 00 </t>
  </si>
  <si>
    <t xml:space="preserve">*RX(8) 11 00 F1 6B 83 00 00 00 </t>
  </si>
  <si>
    <t xml:space="preserve">*TX(8) 11 00 22 03 00 00 00 00 </t>
  </si>
  <si>
    <t xml:space="preserve"> RX(8) 13 00 22 03 F1 6B 83 00 </t>
  </si>
  <si>
    <t xml:space="preserve"> TX(8) 13 00 22 03 F1 6B 83 00 </t>
  </si>
  <si>
    <t xml:space="preserve">*RX(8) 11 00 2C 6B 83 00 00 00 </t>
  </si>
  <si>
    <t xml:space="preserve">*TX(8) 11 00 21 03 00 00 00 00 </t>
  </si>
  <si>
    <t xml:space="preserve"> RX(8) 13 00 21 03 2C 6B 83 00 </t>
  </si>
  <si>
    <t xml:space="preserve"> TX(8) 13 00 21 03 2C 6B 83 00 </t>
  </si>
  <si>
    <t xml:space="preserve">*RX(8) 11 00 67 6A 83 00 00 00 </t>
  </si>
  <si>
    <t xml:space="preserve">*TX(8) 11 00 20 03 00 00 00 00 </t>
  </si>
  <si>
    <t xml:space="preserve"> RX(8) 13 00 20 03 67 6A 83 00 </t>
  </si>
  <si>
    <t xml:space="preserve"> TX(8) 13 00 20 03 67 6A 83 00 </t>
  </si>
  <si>
    <t xml:space="preserve">*RX(8) 11 00 A0 69 83 00 00 00 </t>
  </si>
  <si>
    <t xml:space="preserve">*TX(8) 11 00 1F 03 00 00 00 00 </t>
  </si>
  <si>
    <t xml:space="preserve"> RX(8) 13 00 1F 03 A0 69 83 00 </t>
  </si>
  <si>
    <t xml:space="preserve"> TX(8) 13 00 1F 03 A0 69 83 00 </t>
  </si>
  <si>
    <t xml:space="preserve">*RX(8) 11 00 D8 68 83 00 00 00 </t>
  </si>
  <si>
    <t xml:space="preserve">*TX(8) 11 00 1E 03 00 00 00 00 </t>
  </si>
  <si>
    <t xml:space="preserve"> RX(8) 13 00 1E 03 D8 68 83 00 </t>
  </si>
  <si>
    <t xml:space="preserve"> TX(8) 13 00 1E 03 D8 68 83 00 </t>
  </si>
  <si>
    <t xml:space="preserve">*RX(8) 11 00 0F 68 83 00 00 00 </t>
  </si>
  <si>
    <t xml:space="preserve">*TX(8) 11 00 1D 03 00 00 00 00 </t>
  </si>
  <si>
    <t xml:space="preserve"> RX(8) 13 00 1D 03 0F 68 83 00 </t>
  </si>
  <si>
    <t xml:space="preserve"> TX(8) 13 00 1D 03 0F 68 83 00 </t>
  </si>
  <si>
    <t xml:space="preserve">*RX(8) 11 00 44 67 83 00 00 00 </t>
  </si>
  <si>
    <t xml:space="preserve">*TX(8) 11 00 1C 03 00 00 00 00 </t>
  </si>
  <si>
    <t xml:space="preserve"> RX(8) 13 00 1C 03 44 67 83 00 </t>
  </si>
  <si>
    <t xml:space="preserve"> TX(8) 13 00 1C 03 44 67 83 00 </t>
  </si>
  <si>
    <t xml:space="preserve">*RX(8) 11 00 78 66 83 00 00 00 </t>
  </si>
  <si>
    <t xml:space="preserve">*TX(8) 11 00 1B 03 00 00 00 00 </t>
  </si>
  <si>
    <t xml:space="preserve"> RX(8) 13 00 1B 03 78 66 83 00 </t>
  </si>
  <si>
    <t xml:space="preserve"> TX(8) 13 00 1B 03 78 66 83 00 </t>
  </si>
  <si>
    <t xml:space="preserve">*RX(8) 11 00 AB 65 83 00 00 00 </t>
  </si>
  <si>
    <t xml:space="preserve">*TX(8) 11 00 1A 03 00 00 00 00 </t>
  </si>
  <si>
    <t xml:space="preserve"> RX(8) 13 00 1A 03 AB 65 83 00 </t>
  </si>
  <si>
    <t xml:space="preserve"> TX(8) 13 00 1A 03 AB 65 83 00 </t>
  </si>
  <si>
    <t xml:space="preserve">*RX(8) 11 00 DC 64 83 00 00 00 </t>
  </si>
  <si>
    <t xml:space="preserve">*TX(8) 11 00 19 03 00 00 00 00 </t>
  </si>
  <si>
    <t xml:space="preserve"> RX(8) 13 00 19 03 DC 64 83 00 </t>
  </si>
  <si>
    <t xml:space="preserve"> TX(8) 13 00 19 03 DC 64 83 00 </t>
  </si>
  <si>
    <t xml:space="preserve">*RX(8) 11 00 0C 64 83 00 00 00 </t>
  </si>
  <si>
    <t xml:space="preserve">*TX(8) 11 00 18 03 00 00 00 00 </t>
  </si>
  <si>
    <t xml:space="preserve"> RX(8) 13 00 18 03 0C 64 83 00 </t>
  </si>
  <si>
    <t xml:space="preserve"> TX(8) 13 00 18 03 0C 64 83 00 </t>
  </si>
  <si>
    <t xml:space="preserve">*RX(8) 11 00 3A 63 83 00 00 00 </t>
  </si>
  <si>
    <t xml:space="preserve">*TX(8) 11 00 17 03 00 00 00 00 </t>
  </si>
  <si>
    <t xml:space="preserve"> RX(8) 13 00 17 03 3A 63 83 00 </t>
  </si>
  <si>
    <t xml:space="preserve"> TX(8) 13 00 17 03 3A 63 83 00 </t>
  </si>
  <si>
    <t xml:space="preserve">*RX(8) 11 00 67 62 83 00 00 00 </t>
  </si>
  <si>
    <t xml:space="preserve">*TX(8) 11 00 16 03 00 00 00 00 </t>
  </si>
  <si>
    <t xml:space="preserve"> RX(8) 13 00 16 03 67 62 83 00 </t>
  </si>
  <si>
    <t xml:space="preserve"> TX(8) 13 00 16 03 67 62 83 00 </t>
  </si>
  <si>
    <t xml:space="preserve">*RX(8) 11 00 91 61 83 00 00 00 </t>
  </si>
  <si>
    <t xml:space="preserve">*TX(8) 11 00 15 03 00 00 00 00 </t>
  </si>
  <si>
    <t xml:space="preserve"> RX(8) 13 00 15 03 91 61 83 00 </t>
  </si>
  <si>
    <t xml:space="preserve"> TX(8) 13 00 15 03 91 61 83 00 </t>
  </si>
  <si>
    <t xml:space="preserve">*RX(8) 11 00 BA 60 83 00 00 00 </t>
  </si>
  <si>
    <t xml:space="preserve">*TX(8) 11 00 14 03 00 00 00 00 </t>
  </si>
  <si>
    <t xml:space="preserve"> RX(8) 13 00 14 03 BA 60 83 00 </t>
  </si>
  <si>
    <t xml:space="preserve"> TX(8) 13 00 14 03 BA 60 83 00 </t>
  </si>
  <si>
    <t xml:space="preserve">*RX(8) 11 00 E0 5F 83 00 00 00 </t>
  </si>
  <si>
    <t xml:space="preserve">*TX(8) 11 00 13 03 00 00 00 00 </t>
  </si>
  <si>
    <t xml:space="preserve"> RX(8) 13 00 13 03 E0 5F 83 00 </t>
  </si>
  <si>
    <t xml:space="preserve"> TX(8) 13 00 13 03 E0 5F 83 00 </t>
  </si>
  <si>
    <t xml:space="preserve">*RX(8) 11 00 05 5F 83 00 00 00 </t>
  </si>
  <si>
    <t xml:space="preserve">*TX(8) 11 00 12 03 00 00 00 00 </t>
  </si>
  <si>
    <t xml:space="preserve"> RX(8) 13 00 12 03 05 5F 83 00 </t>
  </si>
  <si>
    <t xml:space="preserve"> TX(8) 13 00 12 03 05 5F 83 00 </t>
  </si>
  <si>
    <t xml:space="preserve">*RX(8) 11 00 27 5E 83 00 00 00 </t>
  </si>
  <si>
    <t xml:space="preserve">*TX(8) 11 00 11 03 00 00 00 00 </t>
  </si>
  <si>
    <t xml:space="preserve"> RX(8) 13 00 11 03 27 5E 83 00 </t>
  </si>
  <si>
    <t xml:space="preserve"> TX(8) 13 00 11 03 27 5E 83 00 </t>
  </si>
  <si>
    <t xml:space="preserve">*RX(8) 11 00 46 5D 83 00 00 00 </t>
  </si>
  <si>
    <t xml:space="preserve">*TX(8) 11 00 10 03 00 00 00 00 </t>
  </si>
  <si>
    <t xml:space="preserve"> RX(8) 13 00 10 03 46 5D 83 00 </t>
  </si>
  <si>
    <t xml:space="preserve"> TX(8) 13 00 10 03 46 5D 83 00 </t>
  </si>
  <si>
    <t xml:space="preserve">*RX(8) 11 00 63 5C 83 00 00 00 </t>
  </si>
  <si>
    <t xml:space="preserve">*TX(8) 11 00 0F 03 00 00 00 00 </t>
  </si>
  <si>
    <t xml:space="preserve"> RX(8) 13 00 0F 03 63 5C 83 00 </t>
  </si>
  <si>
    <t xml:space="preserve"> TX(8) 13 00 0F 03 63 5C 83 00 </t>
  </si>
  <si>
    <t xml:space="preserve">*RX(8) 11 00 7D 5B 83 00 00 00 </t>
  </si>
  <si>
    <t xml:space="preserve">*TX(8) 11 00 0E 03 00 00 00 00 </t>
  </si>
  <si>
    <t xml:space="preserve"> RX(8) 13 00 0E 03 7D 5B 83 00 </t>
  </si>
  <si>
    <t xml:space="preserve"> TX(8) 13 00 0E 03 7D 5B 83 00 </t>
  </si>
  <si>
    <t xml:space="preserve">*RX(8) 11 00 94 5A 83 00 00 00 </t>
  </si>
  <si>
    <t xml:space="preserve">*TX(8) 11 00 0D 03 00 00 00 00 </t>
  </si>
  <si>
    <t xml:space="preserve"> RX(8) 13 00 0D 03 94 5A 83 00 </t>
  </si>
  <si>
    <t xml:space="preserve"> TX(8) 13 00 0D 03 94 5A 83 00 </t>
  </si>
  <si>
    <t xml:space="preserve">*RX(8) 11 00 A8 59 83 00 00 00 </t>
  </si>
  <si>
    <t xml:space="preserve">*TX(8) 11 00 0C 03 00 00 00 00 </t>
  </si>
  <si>
    <t xml:space="preserve"> RX(8) 13 00 0C 03 A8 59 83 00 </t>
  </si>
  <si>
    <t xml:space="preserve"> TX(8) 13 00 0C 03 A8 59 83 00 </t>
  </si>
  <si>
    <t xml:space="preserve">*RX(8) 11 00 B7 58 83 00 00 00 </t>
  </si>
  <si>
    <t xml:space="preserve">*TX(8) 11 00 0B 03 00 00 00 00 </t>
  </si>
  <si>
    <t xml:space="preserve"> RX(8) 13 00 0B 03 B7 58 83 00 </t>
  </si>
  <si>
    <t xml:space="preserve"> TX(8) 13 00 0B 03 B7 58 83 00 </t>
  </si>
  <si>
    <t xml:space="preserve">*RX(8) 11 00 C3 57 83 00 00 00 </t>
  </si>
  <si>
    <t xml:space="preserve">*TX(8) 11 00 0A 03 00 00 00 00 </t>
  </si>
  <si>
    <t xml:space="preserve"> RX(8) 13 00 0A 03 C3 57 83 00 </t>
  </si>
  <si>
    <t xml:space="preserve"> TX(8) 13 00 0A 03 C3 57 83 00 </t>
  </si>
  <si>
    <t xml:space="preserve">*RX(8) 11 00 CA 56 83 00 00 00 </t>
  </si>
  <si>
    <t xml:space="preserve">*TX(8) 11 00 09 03 00 00 00 00 </t>
  </si>
  <si>
    <t xml:space="preserve"> RX(8) 13 00 09 03 CA 56 83 00 </t>
  </si>
  <si>
    <t xml:space="preserve"> TX(8) 13 00 09 03 CA 56 83 00 </t>
  </si>
  <si>
    <t xml:space="preserve">*RX(8) 11 00 CB 55 83 00 00 00 </t>
  </si>
  <si>
    <t xml:space="preserve">*TX(8) 11 00 08 03 00 00 00 00 </t>
  </si>
  <si>
    <t>after warmup and vent</t>
  </si>
  <si>
    <t xml:space="preserve"> RX(8) 02 00 B3 89 A1 0A 9D 33 </t>
  </si>
  <si>
    <t xml:space="preserve">*RX(8) 01 00 EB 4D 88 38 A1 00 </t>
  </si>
  <si>
    <t xml:space="preserve">*RX(8) 02 00 00 80 13 49 83 00 </t>
  </si>
  <si>
    <t xml:space="preserve"> RX(8) 01 00 49 35 83 D5 8C 00 </t>
  </si>
  <si>
    <t xml:space="preserve">*RX(8) 02 00 B3 89 A0 0A 63 35 </t>
  </si>
  <si>
    <t xml:space="preserve"> RX(8) 01 00 6E 4D 88 36 A1 00 </t>
  </si>
  <si>
    <t xml:space="preserve"> RX(8) 02 00 00 80 D8 4A 83 00 </t>
  </si>
  <si>
    <t xml:space="preserve">*RX(8) 01 00 0F 37 83 DC 8C 00 </t>
  </si>
  <si>
    <t xml:space="preserve"> RX(8) 02 00 B3 89 A0 0A AA 34 </t>
  </si>
  <si>
    <t xml:space="preserve">*RX(8) 01 00 1F 4D 88 34 A1 00 </t>
  </si>
  <si>
    <t xml:space="preserve">*RX(8) 02 00 00 80 06 4A 83 00 </t>
  </si>
  <si>
    <t xml:space="preserve"> RX(8) 01 00 3D 36 83 D9 8C 00 </t>
  </si>
  <si>
    <t xml:space="preserve">*RX(8) 02 00 B4 89 9F 0A D9 35 </t>
  </si>
  <si>
    <t xml:space="preserve"> RX(8) 01 00 E1 4C 88 34 A1 00 </t>
  </si>
  <si>
    <t xml:space="preserve"> RX(8) 02 00 00 80 34 4B 83 00 </t>
  </si>
  <si>
    <t xml:space="preserve">*RX(8) 01 00 6C 37 83 DE 8C 00 </t>
  </si>
  <si>
    <t xml:space="preserve"> RX(8) 02 00 B4 89 9F 0A BF 35 </t>
  </si>
  <si>
    <t xml:space="preserve">*RX(8) 01 00 D1 4C 88 33 A1 00 </t>
  </si>
  <si>
    <t xml:space="preserve">*RX(8) 02 00 00 80 33 4B 83 00 </t>
  </si>
  <si>
    <t xml:space="preserve"> RX(8) 01 00 6B 37 83 DE 8C 00 </t>
  </si>
  <si>
    <t xml:space="preserve">*RX(8) 02 00 B3 89 A0 0A 28 36 </t>
  </si>
  <si>
    <t xml:space="preserve"> RX(8) 01 00 F0 4C 88 34 A1 00 </t>
  </si>
  <si>
    <t xml:space="preserve"> RX(8) 02 00 00 80 9C 4B 83 00 </t>
  </si>
  <si>
    <t xml:space="preserve">*RX(8) 01 00 D4 37 83 DF 8C 00 </t>
  </si>
  <si>
    <t xml:space="preserve"> RX(8) 02 00 B3 89 A0 0A AF 34 </t>
  </si>
  <si>
    <t xml:space="preserve">*RX(8) 01 00 E0 4C 88 34 A1 00 </t>
  </si>
  <si>
    <t xml:space="preserve">*RX(8) 02 00 00 80 0B 4A 83 00 </t>
  </si>
  <si>
    <t xml:space="preserve"> RX(8) 01 00 42 36 83 D9 8C 00 </t>
  </si>
  <si>
    <t xml:space="preserve">*RX(8) 02 00 B4 89 9F 0A 24 35 </t>
  </si>
  <si>
    <t xml:space="preserve"> RX(8) 01 00 B2 4C 88 33 A1 00 </t>
  </si>
  <si>
    <t xml:space="preserve"> RX(8) 02 00 00 80 80 4A 83 00 </t>
  </si>
  <si>
    <t xml:space="preserve">*RX(8) 01 00 B7 36 83 DB 8C 00 </t>
  </si>
  <si>
    <t xml:space="preserve"> RX(8) 02 00 B4 89 9F 0A 9E 34 </t>
  </si>
  <si>
    <t xml:space="preserve">*RX(8) 01 00 73 4C 88 32 A1 00 </t>
  </si>
  <si>
    <t xml:space="preserve">*RX(8) 02 00 00 80 FA 49 83 00 </t>
  </si>
  <si>
    <t xml:space="preserve"> RX(8) 01 00 31 36 83 D9 8C 00 </t>
  </si>
  <si>
    <t xml:space="preserve">*RX(8) 02 00 B4 89 9F 0A CA 34 </t>
  </si>
  <si>
    <t xml:space="preserve"> RX(8) 01 00 35 4C 88 31 A1 00 </t>
  </si>
  <si>
    <t xml:space="preserve"> RX(8) 02 00 00 80 26 4A 83 00 </t>
  </si>
  <si>
    <t xml:space="preserve">*RX(8) 01 00 5D 36 83 D9 8C 00 </t>
  </si>
  <si>
    <t xml:space="preserve"> RX(8) 02 00 B4 89 9F 0A 20 36 </t>
  </si>
  <si>
    <t xml:space="preserve">*RX(8) 01 00 06 4C 88 30 A1 00 </t>
  </si>
  <si>
    <t xml:space="preserve">*RX(8) 02 00 00 80 7B 4B 83 00 </t>
  </si>
  <si>
    <t xml:space="preserve"> RX(8) 01 00 B3 37 83 DF 8C 00 </t>
  </si>
  <si>
    <t xml:space="preserve">*RX(8) 02 00 B4 89 9F 0A 2C 34 </t>
  </si>
  <si>
    <t xml:space="preserve"> RX(8) 01 00 F6 4B 88 30 A1 00 </t>
  </si>
  <si>
    <t xml:space="preserve"> RX(8) 02 00 00 80 8A 49 83 00 </t>
  </si>
  <si>
    <t xml:space="preserve">*RX(8) 01 00 C0 35 83 D7 8C 00 </t>
  </si>
  <si>
    <t xml:space="preserve"> RX(8) 11 00 5B A7 00 00 00 00 </t>
  </si>
  <si>
    <t>make chart</t>
  </si>
  <si>
    <t>make chart, change range</t>
  </si>
  <si>
    <t>recalibrate, change range,</t>
  </si>
  <si>
    <t xml:space="preserve">*RX(8) 11 00 00 00 80 00 00 00 </t>
  </si>
  <si>
    <t xml:space="preserve">*TX(8) 11 00 E6 00 00 00 00 00 </t>
  </si>
  <si>
    <t xml:space="preserve"> RX(8) 11 00 00 00 80 00 00 00 </t>
  </si>
  <si>
    <t xml:space="preserve"> TX(8) 11 00 D2 00 00 00 00 00 </t>
  </si>
  <si>
    <t xml:space="preserve">*RX(8) 11 00 00 00 80 FF 00 00 </t>
  </si>
  <si>
    <t xml:space="preserve">*TX(8) 11 00 BE 00 00 00 00 00 </t>
  </si>
  <si>
    <t xml:space="preserve"> TX(8) 11 00 E5 00 00 00 00 00 </t>
  </si>
  <si>
    <t xml:space="preserve">*TX(8) 11 00 D1 00 00 00 00 00 </t>
  </si>
  <si>
    <t xml:space="preserve"> RX(8) 11 00 00 00 80 FF 00 00 </t>
  </si>
  <si>
    <t xml:space="preserve"> TX(8) 11 00 BD 00 00 00 00 00 </t>
  </si>
  <si>
    <t xml:space="preserve">*RX(8) 11 00 A0 86 81 00 00 00 </t>
  </si>
  <si>
    <t xml:space="preserve">*TX(8) 11 00 E4 00 00 00 00 00 </t>
  </si>
  <si>
    <t xml:space="preserve"> RX(8) 11 00 40 83 8A 00 00 00 </t>
  </si>
  <si>
    <t xml:space="preserve"> TX(8) 11 00 D0 00 00 00 00 00 </t>
  </si>
  <si>
    <t xml:space="preserve">*RX(8) 11 00 94 88 81 00 00 00 </t>
  </si>
  <si>
    <t xml:space="preserve">*TX(8) 11 00 BC 00 00 00 00 00 </t>
  </si>
  <si>
    <t xml:space="preserve"> RX(8) 11 00 A0 86 81 00 00 00 </t>
  </si>
  <si>
    <t xml:space="preserve"> TX(8) 11 00 E3 00 00 00 00 00 </t>
  </si>
  <si>
    <t xml:space="preserve">*RX(8) 11 00 96 B9 89 00 00 00 </t>
  </si>
  <si>
    <t xml:space="preserve">*TX(8) 11 00 CF 00 00 00 00 00 </t>
  </si>
  <si>
    <t xml:space="preserve"> RX(8) 11 00 80 38 81 00 00 00 </t>
  </si>
  <si>
    <t xml:space="preserve"> TX(8) 11 00 BB 00 00 00 00 00 </t>
  </si>
  <si>
    <t xml:space="preserve">*TX(8) 11 00 E2 00 00 00 00 00 </t>
  </si>
  <si>
    <t xml:space="preserve"> RX(8) 11 00 00 DF 88 00 00 00 </t>
  </si>
  <si>
    <t xml:space="preserve"> TX(8) 11 00 CE 00 00 00 00 00 </t>
  </si>
  <si>
    <t xml:space="preserve">*RX(8) 11 00 60 EA 80 00 00 00 </t>
  </si>
  <si>
    <t xml:space="preserve">*TX(8) 11 00 BA 00 00 00 00 00 </t>
  </si>
  <si>
    <t xml:space="preserve"> TX(8) 11 00 E1 00 00 00 00 00 </t>
  </si>
  <si>
    <t xml:space="preserve">*RX(8) 11 00 28 DC 87 00 00 00 </t>
  </si>
  <si>
    <t xml:space="preserve">*TX(8) 11 00 CD 00 00 00 00 00 </t>
  </si>
  <si>
    <t xml:space="preserve"> RX(8) 11 00 40 9C 80 00 00 00 </t>
  </si>
  <si>
    <t xml:space="preserve"> TX(8) 11 00 B9 00 00 00 00 00 </t>
  </si>
  <si>
    <t xml:space="preserve">*TX(8) 11 00 E0 00 00 00 00 00 </t>
  </si>
  <si>
    <t xml:space="preserve"> RX(8) 11 00 33 67 86 00 00 00 </t>
  </si>
  <si>
    <t xml:space="preserve"> TX(8) 11 00 CC 00 00 00 00 00 </t>
  </si>
  <si>
    <t xml:space="preserve">*RX(8) 11 00 6A 4F 80 00 00 00 </t>
  </si>
  <si>
    <t xml:space="preserve">*TX(8) 11 00 B8 00 00 00 00 00 </t>
  </si>
  <si>
    <t xml:space="preserve"> TX(8) 11 00 DF 00 00 00 00 00 </t>
  </si>
  <si>
    <t xml:space="preserve">*RX(8) 11 00 63 5F 85 00 00 00 </t>
  </si>
  <si>
    <t xml:space="preserve">*TX(8) 11 00 CB 00 00 00 00 00 </t>
  </si>
  <si>
    <t xml:space="preserve"> RX(8) 11 00 10 27 80 00 00 00 </t>
  </si>
  <si>
    <t xml:space="preserve"> TX(8) 11 00 B7 00 00 00 00 00 </t>
  </si>
  <si>
    <t xml:space="preserve">*TX(8) 11 00 DE 00 00 00 00 00 </t>
  </si>
  <si>
    <t xml:space="preserve"> RX(8) 11 00 C5 A7 84 00 00 00 </t>
  </si>
  <si>
    <t xml:space="preserve"> TX(8) 11 00 CA 00 00 00 00 00 </t>
  </si>
  <si>
    <t xml:space="preserve">*RX(8) 11 00 88 13 80 00 00 00 </t>
  </si>
  <si>
    <t xml:space="preserve">*TX(8) 11 00 B6 00 00 00 00 00 </t>
  </si>
  <si>
    <t xml:space="preserve"> TX(8) 11 00 DD 00 00 00 00 00 </t>
  </si>
  <si>
    <t xml:space="preserve">*TX(8) 11 00 C9 00 00 00 00 00 </t>
  </si>
  <si>
    <t xml:space="preserve"> RX(8) 11 00 E8 03 80 00 00 00 </t>
  </si>
  <si>
    <t xml:space="preserve"> TX(8) 11 00 B5 00 00 00 00 00 </t>
  </si>
  <si>
    <t xml:space="preserve">*TX(8) 11 00 DC 00 00 00 00 00 </t>
  </si>
  <si>
    <t xml:space="preserve"> RX(8) 11 00 BE 4B 83 00 00 00 </t>
  </si>
  <si>
    <t xml:space="preserve"> TX(8) 11 00 C8 00 00 00 00 00 </t>
  </si>
  <si>
    <t xml:space="preserve">*TX(8) 11 00 B4 00 00 00 00 00 </t>
  </si>
  <si>
    <t xml:space="preserve"> TX(8) 11 00 32 00 00 00 00 00 </t>
  </si>
  <si>
    <t xml:space="preserve">*TX(8) 11 00 1E 00 00 00 00 00 </t>
  </si>
  <si>
    <t xml:space="preserve"> TX(8) 11 00 31 00 00 00 00 00 </t>
  </si>
  <si>
    <t xml:space="preserve">*TX(8) 11 00 1D 00 00 00 00 00 </t>
  </si>
  <si>
    <t xml:space="preserve"> TX(8) 11 00 30 00 00 00 00 00 </t>
  </si>
  <si>
    <t xml:space="preserve">*TX(8) 11 00 1C 00 00 00 00 00 </t>
  </si>
  <si>
    <t xml:space="preserve"> RX(8) 11 00 96 B9 89 00 00 00 </t>
  </si>
  <si>
    <t xml:space="preserve"> TX(8) 11 00 2F 00 00 00 00 00 </t>
  </si>
  <si>
    <t xml:space="preserve">*RX(8) 11 00 80 38 81 00 00 00 </t>
  </si>
  <si>
    <t xml:space="preserve">*TX(8) 11 00 1B 00 00 00 00 00 </t>
  </si>
  <si>
    <t xml:space="preserve"> TX(8) 11 00 2E 00 00 00 00 00 </t>
  </si>
  <si>
    <t xml:space="preserve">*TX(8) 11 00 1A 00 00 00 00 00 </t>
  </si>
  <si>
    <t xml:space="preserve"> RX(8) 11 00 28 DC 87 00 00 00 </t>
  </si>
  <si>
    <t xml:space="preserve"> TX(8) 11 00 2D 00 00 00 00 00 </t>
  </si>
  <si>
    <t xml:space="preserve">*RX(8) 11 00 40 9C 80 00 00 00 </t>
  </si>
  <si>
    <t xml:space="preserve">*TX(8) 11 00 19 00 00 00 00 00 </t>
  </si>
  <si>
    <t xml:space="preserve"> TX(8) 11 00 2C 00 00 00 00 00 </t>
  </si>
  <si>
    <t xml:space="preserve">*TX(8) 11 00 18 00 00 00 00 00 </t>
  </si>
  <si>
    <t xml:space="preserve"> RX(8) 11 00 63 5F 85 00 00 00 </t>
  </si>
  <si>
    <t xml:space="preserve"> TX(8) 11 00 2B 00 00 00 00 00 </t>
  </si>
  <si>
    <t xml:space="preserve">*RX(8) 11 00 10 27 80 00 00 00 </t>
  </si>
  <si>
    <t xml:space="preserve">*TX(8) 11 00 17 00 00 00 00 00 </t>
  </si>
  <si>
    <t xml:space="preserve"> TX(8) 11 00 2A 00 00 00 00 00 </t>
  </si>
  <si>
    <t xml:space="preserve">*TX(8) 11 00 16 00 00 00 00 00 </t>
  </si>
  <si>
    <t xml:space="preserve"> RX(8) 11 00 70 A8 83 00 00 00 </t>
  </si>
  <si>
    <t xml:space="preserve"> TX(8) 11 00 29 00 00 00 00 00 </t>
  </si>
  <si>
    <t xml:space="preserve">*RX(8) 11 00 E8 03 80 00 00 00 </t>
  </si>
  <si>
    <t xml:space="preserve">*TX(8) 11 00 15 00 00 00 00 00 </t>
  </si>
  <si>
    <t xml:space="preserve"> TX(8) 11 00 28 00 00 00 00 00 </t>
  </si>
  <si>
    <t xml:space="preserve">*TX(8) 11 00 14 00 00 00 00 00 </t>
  </si>
  <si>
    <t xml:space="preserve"> RX(8) 11 00 48 91 8A 00 00 00 </t>
  </si>
  <si>
    <t xml:space="preserve"> TX(8) 11 00 FF 02 00 00 00 00 </t>
  </si>
  <si>
    <t xml:space="preserve">*RX(8) 11 00 8D 8D 8A 00 00 00 </t>
  </si>
  <si>
    <t xml:space="preserve">*TX(8) 11 00 FE 02 00 00 00 00 </t>
  </si>
  <si>
    <t xml:space="preserve"> RX(8) 11 00 CF 89 8A 00 00 00 </t>
  </si>
  <si>
    <t xml:space="preserve"> TX(8) 11 00 FD 02 00 00 00 00 </t>
  </si>
  <si>
    <t xml:space="preserve">*RX(8) 11 00 10 86 8A 00 00 00 </t>
  </si>
  <si>
    <t xml:space="preserve">*TX(8) 11 00 FC 02 00 00 00 00 </t>
  </si>
  <si>
    <t xml:space="preserve"> RX(8) 11 00 50 82 8A 00 00 00 </t>
  </si>
  <si>
    <t xml:space="preserve"> TX(8) 11 00 FB 02 00 00 00 00 </t>
  </si>
  <si>
    <t xml:space="preserve">*RX(8) 11 00 8D 7E 8A 00 00 00 </t>
  </si>
  <si>
    <t xml:space="preserve">*TX(8) 11 00 FA 02 00 00 00 00 </t>
  </si>
  <si>
    <t xml:space="preserve"> RX(8) 11 00 C9 7A 8A 00 00 00 </t>
  </si>
  <si>
    <t xml:space="preserve"> TX(8) 11 00 F9 02 00 00 00 00 </t>
  </si>
  <si>
    <t xml:space="preserve">*RX(8) 11 00 04 77 8A 00 00 00 </t>
  </si>
  <si>
    <t xml:space="preserve">*TX(8) 11 00 F8 02 00 00 00 00 </t>
  </si>
  <si>
    <t xml:space="preserve"> RX(8) 11 00 3D 73 8A 00 00 00 </t>
  </si>
  <si>
    <t xml:space="preserve"> TX(8) 11 00 F7 02 00 00 00 00 </t>
  </si>
  <si>
    <t xml:space="preserve">*RX(8) 11 00 74 6F 8A 00 00 00 </t>
  </si>
  <si>
    <t xml:space="preserve">*TX(8) 11 00 F6 02 00 00 00 00 </t>
  </si>
  <si>
    <t xml:space="preserve"> RX(8) 11 00 A9 6B 8A 00 00 00 </t>
  </si>
  <si>
    <t xml:space="preserve"> TX(8) 11 00 F5 02 00 00 00 00 </t>
  </si>
  <si>
    <t xml:space="preserve">*RX(8) 11 00 DD 67 8A 00 00 00 </t>
  </si>
  <si>
    <t xml:space="preserve">*TX(8) 11 00 F4 02 00 00 00 00 </t>
  </si>
  <si>
    <t xml:space="preserve"> RX(8) 11 00 0E 64 8A 00 00 00 </t>
  </si>
  <si>
    <t xml:space="preserve"> TX(8) 11 00 F3 02 00 00 00 00 </t>
  </si>
  <si>
    <t xml:space="preserve">*RX(8) 11 00 3F 60 8A 00 00 00 </t>
  </si>
  <si>
    <t xml:space="preserve">*TX(8) 11 00 F2 02 00 00 00 00 </t>
  </si>
  <si>
    <t xml:space="preserve"> RX(8) 11 00 6D 5C 8A 00 00 00 </t>
  </si>
  <si>
    <t xml:space="preserve"> TX(8) 11 00 F1 02 00 00 00 00 </t>
  </si>
  <si>
    <t xml:space="preserve">*RX(8) 11 00 9A 58 8A 00 00 00 </t>
  </si>
  <si>
    <t xml:space="preserve">*TX(8) 11 00 F0 02 00 00 00 00 </t>
  </si>
  <si>
    <t xml:space="preserve"> RX(8) 11 00 C5 54 8A 00 00 00 </t>
  </si>
  <si>
    <t xml:space="preserve"> TX(8) 11 00 EF 02 00 00 00 00 </t>
  </si>
  <si>
    <t xml:space="preserve">*RX(8) 11 00 EE 50 8A 00 00 00 </t>
  </si>
  <si>
    <t xml:space="preserve">*TX(8) 11 00 EE 02 00 00 00 00 </t>
  </si>
  <si>
    <t xml:space="preserve"> RX(8) 11 00 16 4D 8A 00 00 00 </t>
  </si>
  <si>
    <t xml:space="preserve"> TX(8) 11 00 ED 02 00 00 00 00 </t>
  </si>
  <si>
    <t xml:space="preserve">*RX(8) 11 00 3B 49 8A 00 00 00 </t>
  </si>
  <si>
    <t xml:space="preserve">*TX(8) 11 00 EC 02 00 00 00 00 </t>
  </si>
  <si>
    <t xml:space="preserve"> RX(8) 11 00 5F 45 8A 00 00 00 </t>
  </si>
  <si>
    <t xml:space="preserve"> TX(8) 11 00 EB 02 00 00 00 00 </t>
  </si>
  <si>
    <t xml:space="preserve">*RX(8) 11 00 81 41 8A 00 00 00 </t>
  </si>
  <si>
    <t xml:space="preserve">*TX(8) 11 00 EA 02 00 00 00 00 </t>
  </si>
  <si>
    <t xml:space="preserve"> RX(8) 11 00 A2 3D 8A 00 00 00 </t>
  </si>
  <si>
    <t xml:space="preserve"> TX(8) 11 00 E9 02 00 00 00 00 </t>
  </si>
  <si>
    <t xml:space="preserve">*RX(8) 11 00 C0 39 8A 00 00 00 </t>
  </si>
  <si>
    <t xml:space="preserve">*TX(8) 11 00 E8 02 00 00 00 00 </t>
  </si>
  <si>
    <t xml:space="preserve"> RX(8) 11 00 DD 35 8A 00 00 00 </t>
  </si>
  <si>
    <t xml:space="preserve"> TX(8) 11 00 E7 02 00 00 00 00 </t>
  </si>
  <si>
    <t xml:space="preserve">*RX(8) 11 00 F8 31 8A 00 00 00 </t>
  </si>
  <si>
    <t xml:space="preserve">*TX(8) 11 00 E6 02 00 00 00 00 </t>
  </si>
  <si>
    <t xml:space="preserve"> RX(8) 11 00 11 2E 8A 00 00 00 </t>
  </si>
  <si>
    <t xml:space="preserve"> TX(8) 11 00 E5 02 00 00 00 00 </t>
  </si>
  <si>
    <t xml:space="preserve">*RX(8) 11 00 28 2A 8A 00 00 00 </t>
  </si>
  <si>
    <t xml:space="preserve">*TX(8) 11 00 E4 02 00 00 00 00 </t>
  </si>
  <si>
    <t xml:space="preserve"> RX(8) 11 00 3D 26 8A 00 00 00 </t>
  </si>
  <si>
    <t xml:space="preserve"> TX(8) 11 00 E3 02 00 00 00 00 </t>
  </si>
  <si>
    <t xml:space="preserve">*RX(8) 11 00 50 22 8A 00 00 00 </t>
  </si>
  <si>
    <t xml:space="preserve">*TX(8) 11 00 E2 02 00 00 00 00 </t>
  </si>
  <si>
    <t xml:space="preserve"> RX(8) 11 00 62 1E 8A 00 00 00 </t>
  </si>
  <si>
    <t xml:space="preserve"> TX(8) 11 00 E1 02 00 00 00 00 </t>
  </si>
  <si>
    <t xml:space="preserve">*RX(8) 11 00 72 1A 8A 00 00 00 </t>
  </si>
  <si>
    <t xml:space="preserve">*TX(8) 11 00 E0 02 00 00 00 00 </t>
  </si>
  <si>
    <t xml:space="preserve"> RX(8) 11 00 7F 16 8A 00 00 00 </t>
  </si>
  <si>
    <t xml:space="preserve"> TX(8) 11 00 DF 02 00 00 00 00 </t>
  </si>
  <si>
    <t xml:space="preserve">*RX(8) 11 00 8B 12 8A 00 00 00 </t>
  </si>
  <si>
    <t xml:space="preserve">*TX(8) 11 00 DE 02 00 00 00 00 </t>
  </si>
  <si>
    <t xml:space="preserve"> RX(8) 11 00 95 0E 8A 00 00 00 </t>
  </si>
  <si>
    <t xml:space="preserve"> TX(8) 11 00 DD 02 00 00 00 00 </t>
  </si>
  <si>
    <t xml:space="preserve">*RX(8) 11 00 9D 0A 8A 00 00 00 </t>
  </si>
  <si>
    <t xml:space="preserve">*TX(8) 11 00 DC 02 00 00 00 00 </t>
  </si>
  <si>
    <t xml:space="preserve"> RX(8) 11 00 A3 06 8A 00 00 00 </t>
  </si>
  <si>
    <t xml:space="preserve"> TX(8) 11 00 DB 02 00 00 00 00 </t>
  </si>
  <si>
    <t xml:space="preserve">*RX(8) 11 00 A7 02 8A 00 00 00 </t>
  </si>
  <si>
    <t xml:space="preserve">*TX(8) 11 00 DA 02 00 00 00 00 </t>
  </si>
  <si>
    <t xml:space="preserve"> RX(8) 11 00 A9 FE 89 00 00 00 </t>
  </si>
  <si>
    <t xml:space="preserve"> TX(8) 11 00 D9 02 00 00 00 00 </t>
  </si>
  <si>
    <t xml:space="preserve">*RX(8) 11 00 AA FA 89 00 00 00 </t>
  </si>
  <si>
    <t xml:space="preserve">*TX(8) 11 00 D8 02 00 00 00 00 </t>
  </si>
  <si>
    <t xml:space="preserve"> RX(8) 11 00 A8 F6 89 00 00 00 </t>
  </si>
  <si>
    <t xml:space="preserve"> TX(8) 11 00 D7 02 00 00 00 00 </t>
  </si>
  <si>
    <t xml:space="preserve">*RX(8) 11 00 A4 F2 89 00 00 00 </t>
  </si>
  <si>
    <t xml:space="preserve">*TX(8) 11 00 D6 02 00 00 00 00 </t>
  </si>
  <si>
    <t xml:space="preserve"> RX(8) 11 00 9E EE 89 00 00 00 </t>
  </si>
  <si>
    <t xml:space="preserve"> TX(8) 11 00 D5 02 00 00 00 00 </t>
  </si>
  <si>
    <t xml:space="preserve">*RX(8) 11 00 96 EA 89 00 00 00 </t>
  </si>
  <si>
    <t xml:space="preserve">*TX(8) 11 00 D4 02 00 00 00 00 </t>
  </si>
  <si>
    <t xml:space="preserve"> RX(8) 11 00 8C E6 89 00 00 00 </t>
  </si>
  <si>
    <t xml:space="preserve"> TX(8) 11 00 D3 02 00 00 00 00 </t>
  </si>
  <si>
    <t xml:space="preserve">*RX(8) 11 00 80 E2 89 00 00 00 </t>
  </si>
  <si>
    <t xml:space="preserve">*TX(8) 11 00 D2 02 00 00 00 00 </t>
  </si>
  <si>
    <t xml:space="preserve"> RX(8) 11 00 72 DE 89 00 00 00 </t>
  </si>
  <si>
    <t xml:space="preserve"> TX(8) 11 00 D1 02 00 00 00 00 </t>
  </si>
  <si>
    <t xml:space="preserve">*RX(8) 11 00 62 DA 89 00 00 00 </t>
  </si>
  <si>
    <t xml:space="preserve">*TX(8) 11 00 D0 02 00 00 00 00 </t>
  </si>
  <si>
    <t xml:space="preserve"> RX(8) 11 00 50 D6 89 00 00 00 </t>
  </si>
  <si>
    <t xml:space="preserve"> TX(8) 11 00 CF 02 00 00 00 00 </t>
  </si>
  <si>
    <t xml:space="preserve">*RX(8) 11 00 3C D2 89 00 00 00 </t>
  </si>
  <si>
    <t xml:space="preserve">*TX(8) 11 00 CE 02 00 00 00 00 </t>
  </si>
  <si>
    <t xml:space="preserve"> RX(8) 11 00 26 CE 89 00 00 00 </t>
  </si>
  <si>
    <t xml:space="preserve"> TX(8) 11 00 CD 02 00 00 00 00 </t>
  </si>
  <si>
    <t xml:space="preserve">*RX(8) 11 00 0D CA 89 00 00 00 </t>
  </si>
  <si>
    <t xml:space="preserve">*TX(8) 11 00 CC 02 00 00 00 00 </t>
  </si>
  <si>
    <t xml:space="preserve"> RX(8) 11 00 F3 C5 89 00 00 00 </t>
  </si>
  <si>
    <t xml:space="preserve"> TX(8) 11 00 CB 02 00 00 00 00 </t>
  </si>
  <si>
    <t xml:space="preserve">*RX(8) 11 00 D6 C1 89 00 00 00 </t>
  </si>
  <si>
    <t xml:space="preserve">*TX(8) 11 00 CA 02 00 00 00 00 </t>
  </si>
  <si>
    <t xml:space="preserve"> RX(8) 11 00 B7 BD 89 00 00 00 </t>
  </si>
  <si>
    <t xml:space="preserve"> TX(8) 11 00 C9 02 00 00 00 00 </t>
  </si>
  <si>
    <t xml:space="preserve">*TX(8) 11 00 C8 02 00 00 00 00 </t>
  </si>
  <si>
    <t xml:space="preserve"> RX(8) 11 00 73 B5 89 00 00 00 </t>
  </si>
  <si>
    <t xml:space="preserve"> TX(8) 11 00 C7 02 00 00 00 00 </t>
  </si>
  <si>
    <t xml:space="preserve">*RX(8) 11 00 4D B1 89 00 00 00 </t>
  </si>
  <si>
    <t xml:space="preserve">*TX(8) 11 00 C6 02 00 00 00 00 </t>
  </si>
  <si>
    <t xml:space="preserve"> RX(8) 11 00 26 AD 89 00 00 00 </t>
  </si>
  <si>
    <t xml:space="preserve"> TX(8) 11 00 C5 02 00 00 00 00 </t>
  </si>
  <si>
    <t xml:space="preserve">*RX(8) 11 00 FC A8 89 00 00 00 </t>
  </si>
  <si>
    <t xml:space="preserve">*TX(8) 11 00 C4 02 00 00 00 00 </t>
  </si>
  <si>
    <t xml:space="preserve"> RX(8) 11 00 D0 A4 89 00 00 00 </t>
  </si>
  <si>
    <t xml:space="preserve"> TX(8) 11 00 C3 02 00 00 00 00 </t>
  </si>
  <si>
    <t xml:space="preserve">*RX(8) 11 00 A1 A0 89 00 00 00 </t>
  </si>
  <si>
    <t xml:space="preserve">*TX(8) 11 00 C2 02 00 00 00 00 </t>
  </si>
  <si>
    <t xml:space="preserve"> RX(8) 11 00 71 9C 89 00 00 00 </t>
  </si>
  <si>
    <t xml:space="preserve"> TX(8) 11 00 C1 02 00 00 00 00 </t>
  </si>
  <si>
    <t xml:space="preserve">*RX(8) 11 00 3E 98 89 00 00 00 </t>
  </si>
  <si>
    <t xml:space="preserve">*TX(8) 11 00 C0 02 00 00 00 00 </t>
  </si>
  <si>
    <t xml:space="preserve"> RX(8) 11 00 09 94 89 00 00 00 </t>
  </si>
  <si>
    <t xml:space="preserve"> TX(8) 11 00 BF 02 00 00 00 00 </t>
  </si>
  <si>
    <t xml:space="preserve">*RX(8) 11 00 D1 8F 89 00 00 00 </t>
  </si>
  <si>
    <t xml:space="preserve">*TX(8) 11 00 BE 02 00 00 00 00 </t>
  </si>
  <si>
    <t xml:space="preserve"> RX(8) 11 00 97 8B 89 00 00 00 </t>
  </si>
  <si>
    <t xml:space="preserve"> TX(8) 11 00 BD 02 00 00 00 00 </t>
  </si>
  <si>
    <t xml:space="preserve">*RX(8) 11 00 5B 87 89 00 00 00 </t>
  </si>
  <si>
    <t xml:space="preserve">*TX(8) 11 00 BC 02 00 00 00 00 </t>
  </si>
  <si>
    <t xml:space="preserve"> RX(8) 11 00 1D 83 89 00 00 00 </t>
  </si>
  <si>
    <t xml:space="preserve"> TX(8) 11 00 BB 02 00 00 00 00 </t>
  </si>
  <si>
    <t xml:space="preserve">*RX(8) 11 00 DC 7E 89 00 00 00 </t>
  </si>
  <si>
    <t xml:space="preserve">*TX(8) 11 00 BA 02 00 00 00 00 </t>
  </si>
  <si>
    <t xml:space="preserve"> RX(8) 11 00 99 7A 89 00 00 00 </t>
  </si>
  <si>
    <t xml:space="preserve"> TX(8) 11 00 B9 02 00 00 00 00 </t>
  </si>
  <si>
    <t xml:space="preserve">*RX(8) 11 00 53 76 89 00 00 00 </t>
  </si>
  <si>
    <t xml:space="preserve">*TX(8) 11 00 B8 02 00 00 00 00 </t>
  </si>
  <si>
    <t xml:space="preserve"> RX(8) 11 00 0B 72 89 00 00 00 </t>
  </si>
  <si>
    <t xml:space="preserve"> TX(8) 11 00 B7 02 00 00 00 00 </t>
  </si>
  <si>
    <t xml:space="preserve">*RX(8) 11 00 C0 6D 89 00 00 00 </t>
  </si>
  <si>
    <t xml:space="preserve">*TX(8) 11 00 B6 02 00 00 00 00 </t>
  </si>
  <si>
    <t xml:space="preserve"> RX(8) 11 00 73 69 89 00 00 00 </t>
  </si>
  <si>
    <t xml:space="preserve"> TX(8) 11 00 B5 02 00 00 00 00 </t>
  </si>
  <si>
    <t xml:space="preserve">*RX(8) 11 00 24 65 89 00 00 00 </t>
  </si>
  <si>
    <t xml:space="preserve">*TX(8) 11 00 B4 02 00 00 00 00 </t>
  </si>
  <si>
    <t xml:space="preserve"> RX(8) 11 00 D2 60 89 00 00 00 </t>
  </si>
  <si>
    <t xml:space="preserve"> TX(8) 11 00 B3 02 00 00 00 00 </t>
  </si>
  <si>
    <t xml:space="preserve">*RX(8) 11 00 7E 5C 89 00 00 00 </t>
  </si>
  <si>
    <t xml:space="preserve">*TX(8) 11 00 B2 02 00 00 00 00 </t>
  </si>
  <si>
    <t xml:space="preserve"> RX(8) 11 00 27 58 89 00 00 00 </t>
  </si>
  <si>
    <t xml:space="preserve"> TX(8) 11 00 B1 02 00 00 00 00 </t>
  </si>
  <si>
    <t xml:space="preserve">*RX(8) 11 00 CD 53 89 00 00 00 </t>
  </si>
  <si>
    <t xml:space="preserve">*TX(8) 11 00 B0 02 00 00 00 00 </t>
  </si>
  <si>
    <t xml:space="preserve"> RX(8) 11 00 71 4F 89 00 00 00 </t>
  </si>
  <si>
    <t xml:space="preserve"> TX(8) 11 00 AF 02 00 00 00 00 </t>
  </si>
  <si>
    <t xml:space="preserve">*RX(8) 11 00 13 4B 89 00 00 00 </t>
  </si>
  <si>
    <t xml:space="preserve">*TX(8) 11 00 AE 02 00 00 00 00 </t>
  </si>
  <si>
    <t xml:space="preserve"> RX(8) 11 00 B2 46 89 00 00 00 </t>
  </si>
  <si>
    <t xml:space="preserve"> TX(8) 11 00 AD 02 00 00 00 00 </t>
  </si>
  <si>
    <t xml:space="preserve">*RX(8) 11 00 4E 42 89 00 00 00 </t>
  </si>
  <si>
    <t xml:space="preserve">*TX(8) 11 00 AC 02 00 00 00 00 </t>
  </si>
  <si>
    <t xml:space="preserve"> RX(8) 11 00 E7 3D 89 00 00 00 </t>
  </si>
  <si>
    <t xml:space="preserve"> TX(8) 11 00 AB 02 00 00 00 00 </t>
  </si>
  <si>
    <t xml:space="preserve">*RX(8) 11 00 7E 39 89 00 00 00 </t>
  </si>
  <si>
    <t xml:space="preserve">*TX(8) 11 00 AA 02 00 00 00 00 </t>
  </si>
  <si>
    <t xml:space="preserve"> RX(8) 11 00 13 35 89 00 00 00 </t>
  </si>
  <si>
    <t xml:space="preserve"> TX(8) 11 00 A9 02 00 00 00 00 </t>
  </si>
  <si>
    <t xml:space="preserve">*RX(8) 11 00 A4 30 89 00 00 00 </t>
  </si>
  <si>
    <t xml:space="preserve">*TX(8) 11 00 A8 02 00 00 00 00 </t>
  </si>
  <si>
    <t xml:space="preserve"> RX(8) 11 00 33 2C 89 00 00 00 </t>
  </si>
  <si>
    <t xml:space="preserve"> TX(8) 11 00 A7 02 00 00 00 00 </t>
  </si>
  <si>
    <t xml:space="preserve">*RX(8) 11 00 C0 27 89 00 00 00 </t>
  </si>
  <si>
    <t xml:space="preserve">*TX(8) 11 00 A6 02 00 00 00 00 </t>
  </si>
  <si>
    <t xml:space="preserve"> RX(8) 11 00 49 23 89 00 00 00 </t>
  </si>
  <si>
    <t xml:space="preserve"> TX(8) 11 00 A5 02 00 00 00 00 </t>
  </si>
  <si>
    <t xml:space="preserve">*RX(8) 11 00 D0 1E 89 00 00 00 </t>
  </si>
  <si>
    <t xml:space="preserve">*TX(8) 11 00 A4 02 00 00 00 00 </t>
  </si>
  <si>
    <t xml:space="preserve"> RX(8) 11 00 54 1A 89 00 00 00 </t>
  </si>
  <si>
    <t xml:space="preserve"> TX(8) 11 00 A3 02 00 00 00 00 </t>
  </si>
  <si>
    <t xml:space="preserve">*RX(8) 11 00 D5 15 89 00 00 00 </t>
  </si>
  <si>
    <t xml:space="preserve">*TX(8) 11 00 A2 02 00 00 00 00 </t>
  </si>
  <si>
    <t xml:space="preserve"> RX(8) 11 00 53 11 89 00 00 00 </t>
  </si>
  <si>
    <t xml:space="preserve"> TX(8) 11 00 A1 02 00 00 00 00 </t>
  </si>
  <si>
    <t xml:space="preserve">*RX(8) 11 00 CF 0C 89 00 00 00 </t>
  </si>
  <si>
    <t xml:space="preserve">*TX(8) 11 00 A0 02 00 00 00 00 </t>
  </si>
  <si>
    <t xml:space="preserve"> RX(8) 11 00 47 08 89 00 00 00 </t>
  </si>
  <si>
    <t xml:space="preserve"> TX(8) 11 00 9F 02 00 00 00 00 </t>
  </si>
  <si>
    <t xml:space="preserve">*RX(8) 11 00 BD 03 89 00 00 00 </t>
  </si>
  <si>
    <t xml:space="preserve">*TX(8) 11 00 9E 02 00 00 00 00 </t>
  </si>
  <si>
    <t xml:space="preserve"> RX(8) 11 00 30 FF 88 00 00 00 </t>
  </si>
  <si>
    <t xml:space="preserve"> TX(8) 11 00 9D 02 00 00 00 00 </t>
  </si>
  <si>
    <t xml:space="preserve">*RX(8) 11 00 A0 FA 88 00 00 00 </t>
  </si>
  <si>
    <t xml:space="preserve">*TX(8) 11 00 9C 02 00 00 00 00 </t>
  </si>
  <si>
    <t xml:space="preserve"> RX(8) 11 00 0D F6 88 00 00 00 </t>
  </si>
  <si>
    <t xml:space="preserve"> TX(8) 11 00 9B 02 00 00 00 00 </t>
  </si>
  <si>
    <t xml:space="preserve">*RX(8) 11 00 76 F1 88 00 00 00 </t>
  </si>
  <si>
    <t xml:space="preserve">*TX(8) 11 00 9A 02 00 00 00 00 </t>
  </si>
  <si>
    <t xml:space="preserve"> RX(8) 11 00 DD EC 88 00 00 00 </t>
  </si>
  <si>
    <t xml:space="preserve"> TX(8) 11 00 99 02 00 00 00 00 </t>
  </si>
  <si>
    <t xml:space="preserve">*RX(8) 11 00 41 E8 88 00 00 00 </t>
  </si>
  <si>
    <t xml:space="preserve">*TX(8) 11 00 98 02 00 00 00 00 </t>
  </si>
  <si>
    <t xml:space="preserve"> RX(8) 11 00 A2 E3 88 00 00 00 </t>
  </si>
  <si>
    <t xml:space="preserve"> TX(8) 11 00 97 02 00 00 00 00 </t>
  </si>
  <si>
    <t xml:space="preserve">*RX(8) 11 00 00 DF 88 00 00 00 </t>
  </si>
  <si>
    <t xml:space="preserve">*TX(8) 11 00 96 02 00 00 00 00 </t>
  </si>
  <si>
    <t xml:space="preserve"> RX(8) 11 00 46 DA 88 00 00 00 </t>
  </si>
  <si>
    <t xml:space="preserve"> TX(8) 11 00 95 02 00 00 00 00 </t>
  </si>
  <si>
    <t xml:space="preserve">*RX(8) 11 00 88 D5 88 00 00 00 </t>
  </si>
  <si>
    <t xml:space="preserve">*TX(8) 11 00 94 02 00 00 00 00 </t>
  </si>
  <si>
    <t xml:space="preserve"> RX(8) 11 00 C6 D0 88 00 00 00 </t>
  </si>
  <si>
    <t xml:space="preserve"> TX(8) 11 00 93 02 00 00 00 00 </t>
  </si>
  <si>
    <t xml:space="preserve">*RX(8) 11 00 FF CB 88 00 00 00 </t>
  </si>
  <si>
    <t xml:space="preserve">*TX(8) 11 00 92 02 00 00 00 00 </t>
  </si>
  <si>
    <t xml:space="preserve"> RX(8) 11 00 35 C7 88 00 00 00 </t>
  </si>
  <si>
    <t xml:space="preserve"> TX(8) 11 00 91 02 00 00 00 00 </t>
  </si>
  <si>
    <t xml:space="preserve">*RX(8) 11 00 66 C2 88 00 00 00 </t>
  </si>
  <si>
    <t xml:space="preserve">*TX(8) 11 00 90 02 00 00 00 00 </t>
  </si>
  <si>
    <t xml:space="preserve"> RX(8) 11 00 93 BD 88 00 00 00 </t>
  </si>
  <si>
    <t xml:space="preserve"> TX(8) 11 00 8F 02 00 00 00 00 </t>
  </si>
  <si>
    <t xml:space="preserve">*RX(8) 11 00 BC B8 88 00 00 00 </t>
  </si>
  <si>
    <t xml:space="preserve">*TX(8) 11 00 8E 02 00 00 00 00 </t>
  </si>
  <si>
    <t xml:space="preserve"> RX(8) 11 00 E1 B3 88 00 00 00 </t>
  </si>
  <si>
    <t xml:space="preserve"> TX(8) 11 00 8D 02 00 00 00 00 </t>
  </si>
  <si>
    <t xml:space="preserve">*RX(8) 11 00 01 AF 88 00 00 00 </t>
  </si>
  <si>
    <t xml:space="preserve">*TX(8) 11 00 8C 02 00 00 00 00 </t>
  </si>
  <si>
    <t xml:space="preserve"> RX(8) 11 00 1D AA 88 00 00 00 </t>
  </si>
  <si>
    <t xml:space="preserve"> TX(8) 11 00 8B 02 00 00 00 00 </t>
  </si>
  <si>
    <t xml:space="preserve">*RX(8) 11 00 35 A5 88 00 00 00 </t>
  </si>
  <si>
    <t xml:space="preserve">*TX(8) 11 00 8A 02 00 00 00 00 </t>
  </si>
  <si>
    <t xml:space="preserve"> RX(8) 11 00 48 A0 88 00 00 00 </t>
  </si>
  <si>
    <t xml:space="preserve"> TX(8) 11 00 89 02 00 00 00 00 </t>
  </si>
  <si>
    <t xml:space="preserve">*RX(8) 11 00 56 9B 88 00 00 00 </t>
  </si>
  <si>
    <t xml:space="preserve">*TX(8) 11 00 88 02 00 00 00 00 </t>
  </si>
  <si>
    <t xml:space="preserve"> RX(8) 11 00 60 96 88 00 00 00 </t>
  </si>
  <si>
    <t xml:space="preserve"> TX(8) 11 00 87 02 00 00 00 00 </t>
  </si>
  <si>
    <t xml:space="preserve">*RX(8) 11 00 66 91 88 00 00 00 </t>
  </si>
  <si>
    <t xml:space="preserve">*TX(8) 11 00 86 02 00 00 00 00 </t>
  </si>
  <si>
    <t xml:space="preserve"> RX(8) 11 00 66 8C 88 00 00 00 </t>
  </si>
  <si>
    <t xml:space="preserve"> TX(8) 11 00 85 02 00 00 00 00 </t>
  </si>
  <si>
    <t xml:space="preserve">*RX(8) 11 00 63 87 88 00 00 00 </t>
  </si>
  <si>
    <t xml:space="preserve">*TX(8) 11 00 84 02 00 00 00 00 </t>
  </si>
  <si>
    <t xml:space="preserve"> RX(8) 11 00 5A 82 88 00 00 00 </t>
  </si>
  <si>
    <t xml:space="preserve"> TX(8) 11 00 83 02 00 00 00 00 </t>
  </si>
  <si>
    <t xml:space="preserve">*RX(8) 11 00 4D 7D 88 00 00 00 </t>
  </si>
  <si>
    <t xml:space="preserve">*TX(8) 11 00 82 02 00 00 00 00 </t>
  </si>
  <si>
    <t xml:space="preserve"> RX(8) 11 00 3B 78 88 00 00 00 </t>
  </si>
  <si>
    <t xml:space="preserve"> TX(8) 11 00 81 02 00 00 00 00 </t>
  </si>
  <si>
    <t xml:space="preserve">*RX(8) 11 00 24 73 88 00 00 00 </t>
  </si>
  <si>
    <t xml:space="preserve">*TX(8) 11 00 80 02 00 00 00 00 </t>
  </si>
  <si>
    <t xml:space="preserve"> RX(8) 11 00 08 6E 88 00 00 00 </t>
  </si>
  <si>
    <t xml:space="preserve"> TX(8) 11 00 7F 02 00 00 00 00 </t>
  </si>
  <si>
    <t xml:space="preserve">*RX(8) 11 00 E8 68 88 00 00 00 </t>
  </si>
  <si>
    <t xml:space="preserve">*TX(8) 11 00 7E 02 00 00 00 00 </t>
  </si>
  <si>
    <t xml:space="preserve"> RX(8) 11 00 C2 63 88 00 00 00 </t>
  </si>
  <si>
    <t xml:space="preserve"> TX(8) 11 00 7D 02 00 00 00 00 </t>
  </si>
  <si>
    <t xml:space="preserve">*RX(8) 11 00 98 5E 88 00 00 00 </t>
  </si>
  <si>
    <t xml:space="preserve">*TX(8) 11 00 7C 02 00 00 00 00 </t>
  </si>
  <si>
    <t xml:space="preserve"> RX(8) 11 00 68 59 88 00 00 00 </t>
  </si>
  <si>
    <t xml:space="preserve"> TX(8) 11 00 7B 02 00 00 00 00 </t>
  </si>
  <si>
    <t xml:space="preserve">*RX(8) 11 00 33 54 88 00 00 00 </t>
  </si>
  <si>
    <t xml:space="preserve">*TX(8) 11 00 7A 02 00 00 00 00 </t>
  </si>
  <si>
    <t xml:space="preserve"> RX(8) 11 00 F9 4E 88 00 00 00 </t>
  </si>
  <si>
    <t xml:space="preserve"> TX(8) 11 00 79 02 00 00 00 00 </t>
  </si>
  <si>
    <t xml:space="preserve">*RX(8) 11 00 BA 49 88 00 00 00 </t>
  </si>
  <si>
    <t xml:space="preserve">*TX(8) 11 00 78 02 00 00 00 00 </t>
  </si>
  <si>
    <t xml:space="preserve"> RX(8) 11 00 75 44 88 00 00 00 </t>
  </si>
  <si>
    <t xml:space="preserve"> TX(8) 11 00 77 02 00 00 00 00 </t>
  </si>
  <si>
    <t xml:space="preserve">*RX(8) 11 00 2C 3F 88 00 00 00 </t>
  </si>
  <si>
    <t xml:space="preserve">*TX(8) 11 00 76 02 00 00 00 00 </t>
  </si>
  <si>
    <t xml:space="preserve"> RX(8) 11 00 DC 39 88 00 00 00 </t>
  </si>
  <si>
    <t xml:space="preserve"> TX(8) 11 00 75 02 00 00 00 00 </t>
  </si>
  <si>
    <t xml:space="preserve">*RX(8) 11 00 88 34 88 00 00 00 </t>
  </si>
  <si>
    <t xml:space="preserve">*TX(8) 11 00 74 02 00 00 00 00 </t>
  </si>
  <si>
    <t xml:space="preserve"> RX(8) 11 00 2E 2F 88 00 00 00 </t>
  </si>
  <si>
    <t xml:space="preserve"> TX(8) 11 00 73 02 00 00 00 00 </t>
  </si>
  <si>
    <t xml:space="preserve">*RX(8) 11 00 CE 29 88 00 00 00 </t>
  </si>
  <si>
    <t xml:space="preserve">*TX(8) 11 00 72 02 00 00 00 00 </t>
  </si>
  <si>
    <t xml:space="preserve"> RX(8) 11 00 69 24 88 00 00 00 </t>
  </si>
  <si>
    <t xml:space="preserve"> TX(8) 11 00 71 02 00 00 00 00 </t>
  </si>
  <si>
    <t xml:space="preserve">*RX(8) 11 00 FE 1E 88 00 00 00 </t>
  </si>
  <si>
    <t xml:space="preserve">*TX(8) 11 00 70 02 00 00 00 00 </t>
  </si>
  <si>
    <t xml:space="preserve"> RX(8) 11 00 8D 19 88 00 00 00 </t>
  </si>
  <si>
    <t xml:space="preserve"> TX(8) 11 00 6F 02 00 00 00 00 </t>
  </si>
  <si>
    <t xml:space="preserve">*RX(8) 11 00 17 14 88 00 00 00 </t>
  </si>
  <si>
    <t xml:space="preserve">*TX(8) 11 00 6E 02 00 00 00 00 </t>
  </si>
  <si>
    <t xml:space="preserve"> RX(8) 11 00 9A 0E 88 00 00 00 </t>
  </si>
  <si>
    <t xml:space="preserve"> TX(8) 11 00 6D 02 00 00 00 00 </t>
  </si>
  <si>
    <t xml:space="preserve">*RX(8) 11 00 18 09 88 00 00 00 </t>
  </si>
  <si>
    <t xml:space="preserve">*TX(8) 11 00 6C 02 00 00 00 00 </t>
  </si>
  <si>
    <t xml:space="preserve"> RX(8) 11 00 90 03 88 00 00 00 </t>
  </si>
  <si>
    <t xml:space="preserve"> TX(8) 11 00 6B 02 00 00 00 00 </t>
  </si>
  <si>
    <t xml:space="preserve">*RX(8) 11 00 01 FE 87 00 00 00 </t>
  </si>
  <si>
    <t xml:space="preserve">*TX(8) 11 00 6A 02 00 00 00 00 </t>
  </si>
  <si>
    <t xml:space="preserve"> RX(8) 11 00 6D F8 87 00 00 00 </t>
  </si>
  <si>
    <t xml:space="preserve"> TX(8) 11 00 69 02 00 00 00 00 </t>
  </si>
  <si>
    <t xml:space="preserve">*RX(8) 11 00 D2 F2 87 00 00 00 </t>
  </si>
  <si>
    <t xml:space="preserve">*TX(8) 11 00 68 02 00 00 00 00 </t>
  </si>
  <si>
    <t xml:space="preserve"> RX(8) 11 00 31 ED 87 00 00 00 </t>
  </si>
  <si>
    <t xml:space="preserve"> TX(8) 11 00 67 02 00 00 00 00 </t>
  </si>
  <si>
    <t xml:space="preserve">*RX(8) 11 00 8A E7 87 00 00 00 </t>
  </si>
  <si>
    <t xml:space="preserve">*TX(8) 11 00 66 02 00 00 00 00 </t>
  </si>
  <si>
    <t xml:space="preserve"> RX(8) 11 00 DC E1 87 00 00 00 </t>
  </si>
  <si>
    <t xml:space="preserve"> TX(8) 11 00 65 02 00 00 00 00 </t>
  </si>
  <si>
    <t xml:space="preserve">*TX(8) 11 00 64 02 00 00 00 00 </t>
  </si>
  <si>
    <t xml:space="preserve"> RX(8) 11 00 FE D5 87 00 00 00 </t>
  </si>
  <si>
    <t xml:space="preserve"> TX(8) 11 00 63 02 00 00 00 00 </t>
  </si>
  <si>
    <t xml:space="preserve">*RX(8) 11 00 C9 CF 87 00 00 00 </t>
  </si>
  <si>
    <t xml:space="preserve">*TX(8) 11 00 62 02 00 00 00 00 </t>
  </si>
  <si>
    <t xml:space="preserve"> RX(8) 11 00 87 C9 87 00 00 00 </t>
  </si>
  <si>
    <t xml:space="preserve"> TX(8) 11 00 61 02 00 00 00 00 </t>
  </si>
  <si>
    <t xml:space="preserve">*RX(8) 11 00 3A C3 87 00 00 00 </t>
  </si>
  <si>
    <t xml:space="preserve">*TX(8) 11 00 60 02 00 00 00 00 </t>
  </si>
  <si>
    <t xml:space="preserve"> RX(8) 11 00 E0 BC 87 00 00 00 </t>
  </si>
  <si>
    <t xml:space="preserve"> TX(8) 11 00 5F 02 00 00 00 00 </t>
  </si>
  <si>
    <t xml:space="preserve">*RX(8) 11 00 79 B6 87 00 00 00 </t>
  </si>
  <si>
    <t xml:space="preserve">*TX(8) 11 00 5E 02 00 00 00 00 </t>
  </si>
  <si>
    <t xml:space="preserve"> RX(8) 11 00 06 B0 87 00 00 00 </t>
  </si>
  <si>
    <t xml:space="preserve"> TX(8) 11 00 5D 02 00 00 00 00 </t>
  </si>
  <si>
    <t xml:space="preserve">*RX(8) 11 00 86 A9 87 00 00 00 </t>
  </si>
  <si>
    <t xml:space="preserve">*TX(8) 11 00 5C 02 00 00 00 00 </t>
  </si>
  <si>
    <t xml:space="preserve"> RX(8) 11 00 F9 A2 87 00 00 00 </t>
  </si>
  <si>
    <t xml:space="preserve"> TX(8) 11 00 5B 02 00 00 00 00 </t>
  </si>
  <si>
    <t xml:space="preserve">*RX(8) 11 00 5F 9C 87 00 00 00 </t>
  </si>
  <si>
    <t xml:space="preserve">*TX(8) 11 00 5A 02 00 00 00 00 </t>
  </si>
  <si>
    <t xml:space="preserve"> RX(8) 11 00 B7 95 87 00 00 00 </t>
  </si>
  <si>
    <t xml:space="preserve"> TX(8) 11 00 59 02 00 00 00 00 </t>
  </si>
  <si>
    <t xml:space="preserve">*RX(8) 11 00 02 8F 87 00 00 00 </t>
  </si>
  <si>
    <t xml:space="preserve">*TX(8) 11 00 58 02 00 00 00 00 </t>
  </si>
  <si>
    <t xml:space="preserve"> RX(8) 11 00 3F 88 87 00 00 00 </t>
  </si>
  <si>
    <t xml:space="preserve"> TX(8) 11 00 57 02 00 00 00 00 </t>
  </si>
  <si>
    <t xml:space="preserve">*RX(8) 11 00 6F 81 87 00 00 00 </t>
  </si>
  <si>
    <t xml:space="preserve">*TX(8) 11 00 56 02 00 00 00 00 </t>
  </si>
  <si>
    <t xml:space="preserve"> RX(8) 11 00 90 7A 87 00 00 00 </t>
  </si>
  <si>
    <t xml:space="preserve"> TX(8) 11 00 55 02 00 00 00 00 </t>
  </si>
  <si>
    <t xml:space="preserve">*RX(8) 11 00 A3 73 87 00 00 00 </t>
  </si>
  <si>
    <t xml:space="preserve">*TX(8) 11 00 54 02 00 00 00 00 </t>
  </si>
  <si>
    <t xml:space="preserve"> RX(8) 11 00 A7 6C 87 00 00 00 </t>
  </si>
  <si>
    <t xml:space="preserve"> TX(8) 11 00 53 02 00 00 00 00 </t>
  </si>
  <si>
    <t xml:space="preserve">*RX(8) 11 00 9D 65 87 00 00 00 </t>
  </si>
  <si>
    <t xml:space="preserve">*TX(8) 11 00 52 02 00 00 00 00 </t>
  </si>
  <si>
    <t xml:space="preserve"> RX(8) 11 00 83 5E 87 00 00 00 </t>
  </si>
  <si>
    <t xml:space="preserve"> TX(8) 11 00 51 02 00 00 00 00 </t>
  </si>
  <si>
    <t xml:space="preserve">*RX(8) 11 00 5B 57 87 00 00 00 </t>
  </si>
  <si>
    <t xml:space="preserve">*TX(8) 11 00 50 02 00 00 00 00 </t>
  </si>
  <si>
    <t xml:space="preserve"> RX(8) 11 00 23 50 87 00 00 00 </t>
  </si>
  <si>
    <t xml:space="preserve"> TX(8) 11 00 4F 02 00 00 00 00 </t>
  </si>
  <si>
    <t xml:space="preserve">*RX(8) 11 00 DB 48 87 00 00 00 </t>
  </si>
  <si>
    <t xml:space="preserve">*TX(8) 11 00 4E 02 00 00 00 00 </t>
  </si>
  <si>
    <t xml:space="preserve"> RX(8) 11 00 84 41 87 00 00 00 </t>
  </si>
  <si>
    <t xml:space="preserve"> TX(8) 11 00 4D 02 00 00 00 00 </t>
  </si>
  <si>
    <t xml:space="preserve">*RX(8) 11 00 1C 3A 87 00 00 00 </t>
  </si>
  <si>
    <t xml:space="preserve">*TX(8) 11 00 4C 02 00 00 00 00 </t>
  </si>
  <si>
    <t xml:space="preserve"> RX(8) 11 00 A4 32 87 00 00 00 </t>
  </si>
  <si>
    <t xml:space="preserve"> TX(8) 11 00 4B 02 00 00 00 00 </t>
  </si>
  <si>
    <t xml:space="preserve">*RX(8) 11 00 1B 2B 87 00 00 00 </t>
  </si>
  <si>
    <t xml:space="preserve">*TX(8) 11 00 4A 02 00 00 00 00 </t>
  </si>
  <si>
    <t xml:space="preserve"> RX(8) 11 00 82 23 87 00 00 00 </t>
  </si>
  <si>
    <t xml:space="preserve"> TX(8) 11 00 49 02 00 00 00 00 </t>
  </si>
  <si>
    <t xml:space="preserve">*RX(8) 11 00 D7 1B 87 00 00 00 </t>
  </si>
  <si>
    <t xml:space="preserve">*TX(8) 11 00 48 02 00 00 00 00 </t>
  </si>
  <si>
    <t xml:space="preserve"> RX(8) 11 00 1A 14 87 00 00 00 </t>
  </si>
  <si>
    <t xml:space="preserve"> TX(8) 11 00 47 02 00 00 00 00 </t>
  </si>
  <si>
    <t xml:space="preserve">*RX(8) 11 00 4C 0C 87 00 00 00 </t>
  </si>
  <si>
    <t xml:space="preserve">*TX(8) 11 00 46 02 00 00 00 00 </t>
  </si>
  <si>
    <t xml:space="preserve"> RX(8) 11 00 6C 04 87 00 00 00 </t>
  </si>
  <si>
    <t xml:space="preserve"> TX(8) 11 00 45 02 00 00 00 00 </t>
  </si>
  <si>
    <t xml:space="preserve">*RX(8) 11 00 79 FC 86 00 00 00 </t>
  </si>
  <si>
    <t xml:space="preserve">*TX(8) 11 00 44 02 00 00 00 00 </t>
  </si>
  <si>
    <t xml:space="preserve"> RX(8) 11 00 73 F4 86 00 00 00 </t>
  </si>
  <si>
    <t xml:space="preserve"> TX(8) 11 00 43 02 00 00 00 00 </t>
  </si>
  <si>
    <t xml:space="preserve">*RX(8) 11 00 5A EC 86 00 00 00 </t>
  </si>
  <si>
    <t xml:space="preserve">*TX(8) 11 00 42 02 00 00 00 00 </t>
  </si>
  <si>
    <t xml:space="preserve"> RX(8) 11 00 2E E4 86 00 00 00 </t>
  </si>
  <si>
    <t xml:space="preserve"> TX(8) 11 00 41 02 00 00 00 00 </t>
  </si>
  <si>
    <t xml:space="preserve">*RX(8) 11 00 EE DB 86 00 00 00 </t>
  </si>
  <si>
    <t xml:space="preserve">*TX(8) 11 00 40 02 00 00 00 00 </t>
  </si>
  <si>
    <t xml:space="preserve"> RX(8) 11 00 99 D3 86 00 00 00 </t>
  </si>
  <si>
    <t xml:space="preserve"> TX(8) 11 00 3F 02 00 00 00 00 </t>
  </si>
  <si>
    <t xml:space="preserve">*RX(8) 11 00 30 CB 86 00 00 00 </t>
  </si>
  <si>
    <t xml:space="preserve">*TX(8) 11 00 3E 02 00 00 00 00 </t>
  </si>
  <si>
    <t xml:space="preserve"> RX(8) 11 00 B2 C2 86 00 00 00 </t>
  </si>
  <si>
    <t xml:space="preserve"> TX(8) 11 00 3D 02 00 00 00 00 </t>
  </si>
  <si>
    <t xml:space="preserve">*RX(8) 11 00 1F BA 86 00 00 00 </t>
  </si>
  <si>
    <t xml:space="preserve">*TX(8) 11 00 3C 02 00 00 00 00 </t>
  </si>
  <si>
    <t xml:space="preserve"> RX(8) 11 00 75 B1 86 00 00 00 </t>
  </si>
  <si>
    <t xml:space="preserve"> TX(8) 11 00 3B 02 00 00 00 00 </t>
  </si>
  <si>
    <t xml:space="preserve">*RX(8) 11 00 B6 A8 86 00 00 00 </t>
  </si>
  <si>
    <t xml:space="preserve">*TX(8) 11 00 3A 02 00 00 00 00 </t>
  </si>
  <si>
    <t xml:space="preserve"> RX(8) 11 00 DF 9F 86 00 00 00 </t>
  </si>
  <si>
    <t xml:space="preserve"> TX(8) 11 00 39 02 00 00 00 00 </t>
  </si>
  <si>
    <t xml:space="preserve">*RX(8) 11 00 F1 96 86 00 00 00 </t>
  </si>
  <si>
    <t xml:space="preserve">*TX(8) 11 00 38 02 00 00 00 00 </t>
  </si>
  <si>
    <t xml:space="preserve"> RX(8) 11 00 EB 8D 86 00 00 00 </t>
  </si>
  <si>
    <t xml:space="preserve"> TX(8) 11 00 37 02 00 00 00 00 </t>
  </si>
  <si>
    <t xml:space="preserve">*RX(8) 11 00 CD 84 86 00 00 00 </t>
  </si>
  <si>
    <t xml:space="preserve">*TX(8) 11 00 36 02 00 00 00 00 </t>
  </si>
  <si>
    <t xml:space="preserve"> RX(8) 11 00 96 7B 86 00 00 00 </t>
  </si>
  <si>
    <t xml:space="preserve"> TX(8) 11 00 35 02 00 00 00 00 </t>
  </si>
  <si>
    <t xml:space="preserve">*RX(8) 11 00 46 72 86 00 00 00 </t>
  </si>
  <si>
    <t xml:space="preserve">*TX(8) 11 00 34 02 00 00 00 00 </t>
  </si>
  <si>
    <t xml:space="preserve"> RX(8) 11 00 DC 68 86 00 00 00 </t>
  </si>
  <si>
    <t xml:space="preserve"> TX(8) 11 00 33 02 00 00 00 00 </t>
  </si>
  <si>
    <t xml:space="preserve">*RX(8) 11 00 C9 5F 86 00 00 00 </t>
  </si>
  <si>
    <t xml:space="preserve">*TX(8) 11 00 32 02 00 00 00 00 </t>
  </si>
  <si>
    <t xml:space="preserve"> RX(8) 11 00 BB 56 86 00 00 00 </t>
  </si>
  <si>
    <t xml:space="preserve"> TX(8) 11 00 31 02 00 00 00 00 </t>
  </si>
  <si>
    <t xml:space="preserve">*RX(8) 11 00 99 4D 86 00 00 00 </t>
  </si>
  <si>
    <t xml:space="preserve">*TX(8) 11 00 30 02 00 00 00 00 </t>
  </si>
  <si>
    <t xml:space="preserve"> RX(8) 11 00 61 44 86 00 00 00 </t>
  </si>
  <si>
    <t xml:space="preserve"> TX(8) 11 00 2F 02 00 00 00 00 </t>
  </si>
  <si>
    <t xml:space="preserve">*RX(8) 11 00 15 3B 86 00 00 00 </t>
  </si>
  <si>
    <t xml:space="preserve">*TX(8) 11 00 2E 02 00 00 00 00 </t>
  </si>
  <si>
    <t xml:space="preserve"> RX(8) 11 00 B3 31 86 00 00 00 </t>
  </si>
  <si>
    <t xml:space="preserve"> TX(8) 11 00 2D 02 00 00 00 00 </t>
  </si>
  <si>
    <t xml:space="preserve">*RX(8) 11 00 3A 28 86 00 00 00 </t>
  </si>
  <si>
    <t xml:space="preserve">*TX(8) 11 00 2C 02 00 00 00 00 </t>
  </si>
  <si>
    <t xml:space="preserve"> RX(8) 11 00 AB 1E 86 00 00 00 </t>
  </si>
  <si>
    <t xml:space="preserve"> TX(8) 11 00 2B 02 00 00 00 00 </t>
  </si>
  <si>
    <t xml:space="preserve">*RX(8) 11 00 03 15 86 00 00 00 </t>
  </si>
  <si>
    <t xml:space="preserve">*TX(8) 11 00 2A 02 00 00 00 00 </t>
  </si>
  <si>
    <t xml:space="preserve"> RX(8) 11 00 44 0B 86 00 00 00 </t>
  </si>
  <si>
    <t xml:space="preserve"> TX(8) 11 00 29 02 00 00 00 00 </t>
  </si>
  <si>
    <t xml:space="preserve">*RX(8) 11 00 6B 01 86 00 00 00 </t>
  </si>
  <si>
    <t xml:space="preserve">*TX(8) 11 00 28 02 00 00 00 00 </t>
  </si>
  <si>
    <t xml:space="preserve"> RX(8) 11 00 78 F7 85 00 00 00 </t>
  </si>
  <si>
    <t xml:space="preserve"> TX(8) 11 00 27 02 00 00 00 00 </t>
  </si>
  <si>
    <t xml:space="preserve">*RX(8) 11 00 6B ED 85 00 00 00 </t>
  </si>
  <si>
    <t xml:space="preserve">*TX(8) 11 00 26 02 00 00 00 00 </t>
  </si>
  <si>
    <t xml:space="preserve"> RX(8) 11 00 42 E3 85 00 00 00 </t>
  </si>
  <si>
    <t xml:space="preserve"> TX(8) 11 00 25 02 00 00 00 00 </t>
  </si>
  <si>
    <t xml:space="preserve">*RX(8) 11 00 FD D8 85 00 00 00 </t>
  </si>
  <si>
    <t xml:space="preserve">*TX(8) 11 00 24 02 00 00 00 00 </t>
  </si>
  <si>
    <t xml:space="preserve"> RX(8) 11 00 9A CE 85 00 00 00 </t>
  </si>
  <si>
    <t xml:space="preserve"> TX(8) 11 00 23 02 00 00 00 00 </t>
  </si>
  <si>
    <t xml:space="preserve">*RX(8) 11 00 19 C4 85 00 00 00 </t>
  </si>
  <si>
    <t xml:space="preserve">*TX(8) 11 00 22 02 00 00 00 00 </t>
  </si>
  <si>
    <t xml:space="preserve"> RX(8) 11 00 78 B9 85 00 00 00 </t>
  </si>
  <si>
    <t xml:space="preserve"> TX(8) 11 00 21 02 00 00 00 00 </t>
  </si>
  <si>
    <t xml:space="preserve">*RX(8) 11 00 B7 AE 85 00 00 00 </t>
  </si>
  <si>
    <t xml:space="preserve">*TX(8) 11 00 20 02 00 00 00 00 </t>
  </si>
  <si>
    <t xml:space="preserve"> RX(8) 11 00 D3 A3 85 00 00 00 </t>
  </si>
  <si>
    <t xml:space="preserve"> TX(8) 11 00 1F 02 00 00 00 00 </t>
  </si>
  <si>
    <t xml:space="preserve">*RX(8) 11 00 CD 98 85 00 00 00 </t>
  </si>
  <si>
    <t xml:space="preserve">*TX(8) 11 00 1E 02 00 00 00 00 </t>
  </si>
  <si>
    <t xml:space="preserve"> RX(8) 11 00 A1 8D 85 00 00 00 </t>
  </si>
  <si>
    <t xml:space="preserve"> TX(8) 11 00 1D 02 00 00 00 00 </t>
  </si>
  <si>
    <t xml:space="preserve">*RX(8) 11 00 4F 82 85 00 00 00 </t>
  </si>
  <si>
    <t xml:space="preserve">*TX(8) 11 00 1C 02 00 00 00 00 </t>
  </si>
  <si>
    <t xml:space="preserve"> RX(8) 11 00 D6 76 85 00 00 00 </t>
  </si>
  <si>
    <t xml:space="preserve"> TX(8) 11 00 1B 02 00 00 00 00 </t>
  </si>
  <si>
    <t xml:space="preserve">*RX(8) 11 00 32 6B 85 00 00 00 </t>
  </si>
  <si>
    <t xml:space="preserve">*TX(8) 11 00 1A 02 00 00 00 00 </t>
  </si>
  <si>
    <t xml:space="preserve"> TX(8) 11 00 19 02 00 00 00 00 </t>
  </si>
  <si>
    <t xml:space="preserve">*RX(8) 11 00 A2 52 85 00 00 00 </t>
  </si>
  <si>
    <t xml:space="preserve">*TX(8) 11 00 18 02 00 00 00 00 </t>
  </si>
  <si>
    <t xml:space="preserve"> RX(8) 11 00 9C 45 85 00 00 00 </t>
  </si>
  <si>
    <t xml:space="preserve"> TX(8) 11 00 17 02 00 00 00 00 </t>
  </si>
  <si>
    <t xml:space="preserve">*RX(8) 11 00 4D 38 85 00 00 00 </t>
  </si>
  <si>
    <t xml:space="preserve">*TX(8) 11 00 16 02 00 00 00 00 </t>
  </si>
  <si>
    <t xml:space="preserve"> RX(8) 11 00 B1 2A 85 00 00 00 </t>
  </si>
  <si>
    <t xml:space="preserve"> TX(8) 11 00 15 02 00 00 00 00 </t>
  </si>
  <si>
    <t xml:space="preserve">*RX(8) 11 00 C5 1C 85 00 00 00 </t>
  </si>
  <si>
    <t xml:space="preserve">*TX(8) 11 00 14 02 00 00 00 00 </t>
  </si>
  <si>
    <t xml:space="preserve"> RX(8) 11 00 81 0E 85 00 00 00 </t>
  </si>
  <si>
    <t xml:space="preserve"> TX(8) 11 00 13 02 00 00 00 00 </t>
  </si>
  <si>
    <t xml:space="preserve">*RX(8) 11 00 E2 FF 84 00 00 00 </t>
  </si>
  <si>
    <t xml:space="preserve">*TX(8) 11 00 12 02 00 00 00 00 </t>
  </si>
  <si>
    <t xml:space="preserve"> RX(8) 11 00 E1 F0 84 00 00 00 </t>
  </si>
  <si>
    <t xml:space="preserve"> TX(8) 11 00 11 02 00 00 00 00 </t>
  </si>
  <si>
    <t xml:space="preserve">*RX(8) 11 00 77 E1 84 00 00 00 </t>
  </si>
  <si>
    <t xml:space="preserve">*TX(8) 11 00 10 02 00 00 00 00 </t>
  </si>
  <si>
    <t xml:space="preserve"> RX(8) 11 00 9B D1 84 00 00 00 </t>
  </si>
  <si>
    <t xml:space="preserve"> TX(8) 11 00 0F 02 00 00 00 00 </t>
  </si>
  <si>
    <t xml:space="preserve">*RX(8) 11 00 45 C1 84 00 00 00 </t>
  </si>
  <si>
    <t xml:space="preserve">*TX(8) 11 00 0E 02 00 00 00 00 </t>
  </si>
  <si>
    <t xml:space="preserve"> RX(8) 11 00 69 B0 84 00 00 00 </t>
  </si>
  <si>
    <t xml:space="preserve"> TX(8) 11 00 0D 02 00 00 00 00 </t>
  </si>
  <si>
    <t xml:space="preserve">*RX(8) 11 00 63 9E 84 00 00 00 </t>
  </si>
  <si>
    <t xml:space="preserve">*TX(8) 11 00 0C 02 00 00 00 00 </t>
  </si>
  <si>
    <t xml:space="preserve"> RX(8) 11 00 F3 8A 84 00 00 00 </t>
  </si>
  <si>
    <t xml:space="preserve"> TX(8) 11 00 0B 02 00 00 00 00 </t>
  </si>
  <si>
    <t xml:space="preserve">*RX(8) 11 00 86 76 84 00 00 00 </t>
  </si>
  <si>
    <t xml:space="preserve">*TX(8) 11 00 0A 02 00 00 00 00 </t>
  </si>
  <si>
    <t xml:space="preserve"> RX(8) 11 00 FD 60 84 00 00 00 </t>
  </si>
  <si>
    <t xml:space="preserve"> TX(8) 11 00 09 02 00 00 00 00 </t>
  </si>
  <si>
    <t xml:space="preserve">*RX(8) 11 00 31 4A 84 00 00 00 </t>
  </si>
  <si>
    <t xml:space="preserve">*TX(8) 11 00 08 02 00 00 00 00 </t>
  </si>
  <si>
    <t xml:space="preserve"> RX(8) 11 00 F0 31 84 00 00 00 </t>
  </si>
  <si>
    <t xml:space="preserve"> TX(8) 11 00 07 02 00 00 00 00 </t>
  </si>
  <si>
    <t xml:space="preserve">*RX(8) 11 00 F7 17 84 00 00 00 </t>
  </si>
  <si>
    <t xml:space="preserve">*TX(8) 11 00 06 02 00 00 00 00 </t>
  </si>
  <si>
    <t xml:space="preserve"> RX(8) 11 00 EB FB 83 00 00 00 </t>
  </si>
  <si>
    <t xml:space="preserve"> TX(8) 11 00 05 02 00 00 00 00 </t>
  </si>
  <si>
    <t xml:space="preserve">*TX(8) 11 00 04 02 00 00 00 00 </t>
  </si>
  <si>
    <t xml:space="preserve"> RX(8) 11 00 30 BB 83 00 00 00 </t>
  </si>
  <si>
    <t xml:space="preserve"> TX(8) 11 00 03 02 00 00 00 00 </t>
  </si>
  <si>
    <t xml:space="preserve">*TX(8) 11 00 02 02 00 00 00 00 </t>
  </si>
  <si>
    <t xml:space="preserve"> RX(8) 11 00 BD 77 83 00 00 00 </t>
  </si>
  <si>
    <t xml:space="preserve"> TX(8) 11 00 01 02 00 00 00 00 </t>
  </si>
  <si>
    <t xml:space="preserve">*RX(8) 11 00 BE 4B 83 00 00 00 </t>
  </si>
  <si>
    <t xml:space="preserve">*TX(8) 11 00 00 02 00 00 00 00 </t>
  </si>
  <si>
    <t xml:space="preserve"> RX(8) 11 00 50 65 85 00 00 00 </t>
  </si>
  <si>
    <t xml:space="preserve">*RX(8) 11 00 22 64 85 00 00 00 </t>
  </si>
  <si>
    <t xml:space="preserve"> RX(8) 11 00 F3 62 85 00 00 00 </t>
  </si>
  <si>
    <t xml:space="preserve">*RX(8) 11 00 C3 61 85 00 00 00 </t>
  </si>
  <si>
    <t xml:space="preserve"> RX(8) 11 00 93 60 85 00 00 00 </t>
  </si>
  <si>
    <t xml:space="preserve"> RX(8) 11 00 20 5E 85 00 00 00 </t>
  </si>
  <si>
    <t xml:space="preserve">*RX(8) 11 00 DB 5C 85 00 00 00 </t>
  </si>
  <si>
    <t xml:space="preserve"> RX(8) 11 00 97 5B 85 00 00 00 </t>
  </si>
  <si>
    <t xml:space="preserve">*RX(8) 11 00 51 5A 85 00 00 00 </t>
  </si>
  <si>
    <t xml:space="preserve"> RX(8) 11 00 0B 59 85 00 00 00 </t>
  </si>
  <si>
    <t xml:space="preserve">*RX(8) 11 00 C4 57 85 00 00 00 </t>
  </si>
  <si>
    <t xml:space="preserve"> RX(8) 11 00 7D 56 85 00 00 00 </t>
  </si>
  <si>
    <t xml:space="preserve">*RX(8) 11 00 34 55 85 00 00 00 </t>
  </si>
  <si>
    <t xml:space="preserve"> RX(8) 11 00 EC 53 85 00 00 00 </t>
  </si>
  <si>
    <t xml:space="preserve"> RX(8) 11 00 58 51 85 00 00 00 </t>
  </si>
  <si>
    <t xml:space="preserve">*RX(8) 11 00 0D 50 85 00 00 00 </t>
  </si>
  <si>
    <t xml:space="preserve"> RX(8) 11 00 C1 4E 85 00 00 00 </t>
  </si>
  <si>
    <t xml:space="preserve">*RX(8) 11 00 75 4D 85 00 00 00 </t>
  </si>
  <si>
    <t xml:space="preserve"> RX(8) 11 00 28 4C 85 00 00 00 </t>
  </si>
  <si>
    <t xml:space="preserve">*RX(8) 11 00 DA 4A 85 00 00 00 </t>
  </si>
  <si>
    <t xml:space="preserve"> RX(8) 11 00 8C 49 85 00 00 00 </t>
  </si>
  <si>
    <t xml:space="preserve">*RX(8) 11 00 3C 48 85 00 00 00 </t>
  </si>
  <si>
    <t xml:space="preserve"> RX(8) 11 00 ED 46 85 00 00 00 </t>
  </si>
  <si>
    <t xml:space="preserve">*RX(8) 11 00 9C 45 85 00 00 00 </t>
  </si>
  <si>
    <t xml:space="preserve"> RX(8) 11 00 4B 44 85 00 00 00 </t>
  </si>
  <si>
    <t xml:space="preserve">*RX(8) 11 00 F8 42 85 00 00 00 </t>
  </si>
  <si>
    <t xml:space="preserve"> RX(8) 11 00 A6 41 85 00 00 00 </t>
  </si>
  <si>
    <t xml:space="preserve">*RX(8) 11 00 52 40 85 00 00 00 </t>
  </si>
  <si>
    <t xml:space="preserve"> RX(8) 11 00 FE 3E 85 00 00 00 </t>
  </si>
  <si>
    <t xml:space="preserve">*RX(8) 11 00 A9 3D 85 00 00 00 </t>
  </si>
  <si>
    <t xml:space="preserve"> RX(8) 11 00 53 3C 85 00 00 00 </t>
  </si>
  <si>
    <t xml:space="preserve">*RX(8) 11 00 FC 3A 85 00 00 00 </t>
  </si>
  <si>
    <t xml:space="preserve"> RX(8) 11 00 A5 39 85 00 00 00 </t>
  </si>
  <si>
    <t xml:space="preserve"> RX(8) 11 00 F4 36 85 00 00 00 </t>
  </si>
  <si>
    <t xml:space="preserve">*RX(8) 11 00 9B 35 85 00 00 00 </t>
  </si>
  <si>
    <t xml:space="preserve"> RX(8) 11 00 40 34 85 00 00 00 </t>
  </si>
  <si>
    <t xml:space="preserve">*RX(8) 11 00 E5 32 85 00 00 00 </t>
  </si>
  <si>
    <t xml:space="preserve"> RX(8) 11 00 89 31 85 00 00 00 </t>
  </si>
  <si>
    <t xml:space="preserve">*RX(8) 11 00 2C 30 85 00 00 00 </t>
  </si>
  <si>
    <t xml:space="preserve"> RX(8) 11 00 CF 2E 85 00 00 00 </t>
  </si>
  <si>
    <t xml:space="preserve">*RX(8) 11 00 71 2D 85 00 00 00 </t>
  </si>
  <si>
    <t xml:space="preserve"> RX(8) 11 00 11 2C 85 00 00 00 </t>
  </si>
  <si>
    <t xml:space="preserve">*RX(8) 11 00 B1 2A 85 00 00 00 </t>
  </si>
  <si>
    <t xml:space="preserve"> RX(8) 11 00 51 29 85 00 00 00 </t>
  </si>
  <si>
    <t xml:space="preserve">*RX(8) 11 00 EF 27 85 00 00 00 </t>
  </si>
  <si>
    <t xml:space="preserve"> RX(8) 11 00 8D 26 85 00 00 00 </t>
  </si>
  <si>
    <t xml:space="preserve">*RX(8) 11 00 2A 25 85 00 00 00 </t>
  </si>
  <si>
    <t xml:space="preserve"> RX(8) 11 00 C5 23 85 00 00 00 </t>
  </si>
  <si>
    <t xml:space="preserve">*RX(8) 11 00 61 22 85 00 00 00 </t>
  </si>
  <si>
    <t xml:space="preserve"> RX(8) 11 00 FB 20 85 00 00 00 </t>
  </si>
  <si>
    <t xml:space="preserve">*RX(8) 11 00 94 1F 85 00 00 00 </t>
  </si>
  <si>
    <t xml:space="preserve"> RX(8) 11 00 2D 1E 85 00 00 00 </t>
  </si>
  <si>
    <t xml:space="preserve"> RX(8) 11 00 5B 1B 85 00 00 00 </t>
  </si>
  <si>
    <t xml:space="preserve">*RX(8) 11 00 F1 19 85 00 00 00 </t>
  </si>
  <si>
    <t xml:space="preserve"> RX(8) 11 00 86 18 85 00 00 00 </t>
  </si>
  <si>
    <t xml:space="preserve">*RX(8) 11 00 1B 17 85 00 00 00 </t>
  </si>
  <si>
    <t xml:space="preserve"> RX(8) 11 00 AE 15 85 00 00 00 </t>
  </si>
  <si>
    <t xml:space="preserve">*RX(8) 11 00 41 14 85 00 00 00 </t>
  </si>
  <si>
    <t xml:space="preserve"> RX(8) 11 00 D2 12 85 00 00 00 </t>
  </si>
  <si>
    <t xml:space="preserve">*RX(8) 11 00 63 11 85 00 00 00 </t>
  </si>
  <si>
    <t xml:space="preserve"> RX(8) 11 00 F2 0F 85 00 00 00 </t>
  </si>
  <si>
    <t xml:space="preserve">*RX(8) 11 00 81 0E 85 00 00 00 </t>
  </si>
  <si>
    <t xml:space="preserve"> RX(8) 11 00 0F 0D 85 00 00 00 </t>
  </si>
  <si>
    <t xml:space="preserve">*RX(8) 11 00 9C 0B 85 00 00 00 </t>
  </si>
  <si>
    <t xml:space="preserve"> RX(8) 11 00 28 0A 85 00 00 00 </t>
  </si>
  <si>
    <t xml:space="preserve">*RX(8) 11 00 B3 08 85 00 00 00 </t>
  </si>
  <si>
    <t xml:space="preserve"> RX(8) 11 00 3E 07 85 00 00 00 </t>
  </si>
  <si>
    <t xml:space="preserve">*RX(8) 11 00 C7 05 85 00 00 00 </t>
  </si>
  <si>
    <t xml:space="preserve"> RX(8) 11 00 4F 04 85 00 00 00 </t>
  </si>
  <si>
    <t xml:space="preserve">*RX(8) 11 00 D7 02 85 00 00 00 </t>
  </si>
  <si>
    <t xml:space="preserve"> RX(8) 11 00 5D 01 85 00 00 00 </t>
  </si>
  <si>
    <t xml:space="preserve"> RX(8) 11 00 67 FE 84 00 00 00 </t>
  </si>
  <si>
    <t xml:space="preserve">*RX(8) 11 00 EA FC 84 00 00 00 </t>
  </si>
  <si>
    <t xml:space="preserve"> RX(8) 11 00 6D FB 84 00 00 00 </t>
  </si>
  <si>
    <t xml:space="preserve">*RX(8) 11 00 EE F9 84 00 00 00 </t>
  </si>
  <si>
    <t xml:space="preserve"> RX(8) 11 00 6E F8 84 00 00 00 </t>
  </si>
  <si>
    <t xml:space="preserve">*RX(8) 11 00 EE F6 84 00 00 00 </t>
  </si>
  <si>
    <t xml:space="preserve"> RX(8) 11 00 6C F5 84 00 00 00 </t>
  </si>
  <si>
    <t xml:space="preserve">*RX(8) 11 00 E9 F3 84 00 00 00 </t>
  </si>
  <si>
    <t xml:space="preserve"> RX(8) 11 00 66 F2 84 00 00 00 </t>
  </si>
  <si>
    <t xml:space="preserve">*RX(8) 11 00 E1 F0 84 00 00 00 </t>
  </si>
  <si>
    <t xml:space="preserve"> RX(8) 11 00 5B EF 84 00 00 00 </t>
  </si>
  <si>
    <t xml:space="preserve">*RX(8) 11 00 D4 ED 84 00 00 00 </t>
  </si>
  <si>
    <t xml:space="preserve"> RX(8) 11 00 4D EC 84 00 00 00 </t>
  </si>
  <si>
    <t xml:space="preserve">*RX(8) 11 00 C4 EA 84 00 00 00 </t>
  </si>
  <si>
    <t xml:space="preserve"> RX(8) 11 00 39 E9 84 00 00 00 </t>
  </si>
  <si>
    <t xml:space="preserve">*RX(8) 11 00 AE E7 84 00 00 00 </t>
  </si>
  <si>
    <t xml:space="preserve"> RX(8) 11 00 22 E6 84 00 00 00 </t>
  </si>
  <si>
    <t xml:space="preserve">*RX(8) 11 00 95 E4 84 00 00 00 </t>
  </si>
  <si>
    <t xml:space="preserve"> RX(8) 11 00 06 E3 84 00 00 00 </t>
  </si>
  <si>
    <t xml:space="preserve"> RX(8) 11 00 E6 DF 84 00 00 00 </t>
  </si>
  <si>
    <t xml:space="preserve">*RX(8) 11 00 54 DE 84 00 00 00 </t>
  </si>
  <si>
    <t xml:space="preserve"> RX(8) 11 00 C1 DC 84 00 00 00 </t>
  </si>
  <si>
    <t xml:space="preserve">*RX(8) 11 00 2D DB 84 00 00 00 </t>
  </si>
  <si>
    <t xml:space="preserve"> RX(8) 11 00 97 D9 84 00 00 00 </t>
  </si>
  <si>
    <t xml:space="preserve">*RX(8) 11 00 01 D8 84 00 00 00 </t>
  </si>
  <si>
    <t xml:space="preserve"> RX(8) 11 00 69 D6 84 00 00 00 </t>
  </si>
  <si>
    <t xml:space="preserve">*RX(8) 11 00 D0 D4 84 00 00 00 </t>
  </si>
  <si>
    <t xml:space="preserve"> RX(8) 11 00 36 D3 84 00 00 00 </t>
  </si>
  <si>
    <t xml:space="preserve">*RX(8) 11 00 9B D1 84 00 00 00 </t>
  </si>
  <si>
    <t xml:space="preserve"> RX(8) 11 00 FE CF 84 00 00 00 </t>
  </si>
  <si>
    <t xml:space="preserve">*RX(8) 11 00 61 CE 84 00 00 00 </t>
  </si>
  <si>
    <t xml:space="preserve"> RX(8) 11 00 C2 CC 84 00 00 00 </t>
  </si>
  <si>
    <t xml:space="preserve">*RX(8) 11 00 21 CB 84 00 00 00 </t>
  </si>
  <si>
    <t xml:space="preserve"> RX(8) 11 00 80 C9 84 00 00 00 </t>
  </si>
  <si>
    <t xml:space="preserve">*RX(8) 11 00 DD C7 84 00 00 00 </t>
  </si>
  <si>
    <t xml:space="preserve"> RX(8) 11 00 39 C6 84 00 00 00 </t>
  </si>
  <si>
    <t xml:space="preserve">*RX(8) 11 00 93 C4 84 00 00 00 </t>
  </si>
  <si>
    <t xml:space="preserve"> RX(8) 11 00 ED C2 84 00 00 00 </t>
  </si>
  <si>
    <t xml:space="preserve"> RX(8) 11 00 9B BF 84 00 00 00 </t>
  </si>
  <si>
    <t xml:space="preserve">*RX(8) 11 00 F0 BD 84 00 00 00 </t>
  </si>
  <si>
    <t xml:space="preserve"> RX(8) 11 00 44 BC 84 00 00 00 </t>
  </si>
  <si>
    <t xml:space="preserve">*RX(8) 11 00 97 BA 84 00 00 00 </t>
  </si>
  <si>
    <t xml:space="preserve"> RX(8) 11 00 E8 B8 84 00 00 00 </t>
  </si>
  <si>
    <t xml:space="preserve">*RX(8) 11 00 38 B7 84 00 00 00 </t>
  </si>
  <si>
    <t xml:space="preserve"> RX(8) 11 00 86 B5 84 00 00 00 </t>
  </si>
  <si>
    <t xml:space="preserve">*RX(8) 11 00 D3 B3 84 00 00 00 </t>
  </si>
  <si>
    <t xml:space="preserve"> RX(8) 11 00 1F B2 84 00 00 00 </t>
  </si>
  <si>
    <t xml:space="preserve">*RX(8) 11 00 69 B0 84 00 00 00 </t>
  </si>
  <si>
    <t xml:space="preserve"> RX(8) 11 00 B1 AE 84 00 00 00 </t>
  </si>
  <si>
    <t xml:space="preserve">*RX(8) 11 00 F9 AC 84 00 00 00 </t>
  </si>
  <si>
    <t xml:space="preserve"> RX(8) 11 00 3E AB 84 00 00 00 </t>
  </si>
  <si>
    <t xml:space="preserve">*RX(8) 11 00 82 A9 84 00 00 00 </t>
  </si>
  <si>
    <t xml:space="preserve">*RX(8) 11 00 E9 A5 84 00 00 00 </t>
  </si>
  <si>
    <t xml:space="preserve"> RX(8) 11 00 0B A4 84 00 00 00 </t>
  </si>
  <si>
    <t xml:space="preserve">*RX(8) 11 00 2B A2 84 00 00 00 </t>
  </si>
  <si>
    <t xml:space="preserve"> RX(8) 11 00 48 A0 84 00 00 00 </t>
  </si>
  <si>
    <t xml:space="preserve"> RX(8) 11 00 7C 9C 84 00 00 00 </t>
  </si>
  <si>
    <t xml:space="preserve">*RX(8) 11 00 93 9A 84 00 00 00 </t>
  </si>
  <si>
    <t xml:space="preserve"> RX(8) 11 00 A7 98 84 00 00 00 </t>
  </si>
  <si>
    <t xml:space="preserve">*RX(8) 11 00 B9 96 84 00 00 00 </t>
  </si>
  <si>
    <t xml:space="preserve"> RX(8) 11 00 C9 94 84 00 00 00 </t>
  </si>
  <si>
    <t xml:space="preserve">*RX(8) 11 00 D6 92 84 00 00 00 </t>
  </si>
  <si>
    <t xml:space="preserve"> RX(8) 11 00 E1 90 84 00 00 00 </t>
  </si>
  <si>
    <t xml:space="preserve">*RX(8) 11 00 EA 8E 84 00 00 00 </t>
  </si>
  <si>
    <t xml:space="preserve"> RX(8) 11 00 EF 8C 84 00 00 00 </t>
  </si>
  <si>
    <t xml:space="preserve">*RX(8) 11 00 F3 8A 84 00 00 00 </t>
  </si>
  <si>
    <t xml:space="preserve"> RX(8) 11 00 F4 88 84 00 00 00 </t>
  </si>
  <si>
    <t xml:space="preserve">*RX(8) 11 00 F2 86 84 00 00 00 </t>
  </si>
  <si>
    <t xml:space="preserve"> RX(8) 11 00 EE 84 84 00 00 00 </t>
  </si>
  <si>
    <t xml:space="preserve">*RX(8) 11 00 E7 82 84 00 00 00 </t>
  </si>
  <si>
    <t xml:space="preserve"> RX(8) 11 00 DE 80 84 00 00 00 </t>
  </si>
  <si>
    <t xml:space="preserve">*RX(8) 11 00 D2 7E 84 00 00 00 </t>
  </si>
  <si>
    <t xml:space="preserve"> RX(8) 11 00 C3 7C 84 00 00 00 </t>
  </si>
  <si>
    <t xml:space="preserve">*RX(8) 11 00 B1 7A 84 00 00 00 </t>
  </si>
  <si>
    <t xml:space="preserve"> RX(8) 11 00 9D 78 84 00 00 00 </t>
  </si>
  <si>
    <t xml:space="preserve"> RX(8) 11 00 6C 74 84 00 00 00 </t>
  </si>
  <si>
    <t xml:space="preserve">*RX(8) 11 00 4F 72 84 00 00 00 </t>
  </si>
  <si>
    <t xml:space="preserve"> RX(8) 11 00 2F 70 84 00 00 00 </t>
  </si>
  <si>
    <t xml:space="preserve">*RX(8) 11 00 0D 6E 84 00 00 00 </t>
  </si>
  <si>
    <t xml:space="preserve"> RX(8) 11 00 E7 6B 84 00 00 00 </t>
  </si>
  <si>
    <t xml:space="preserve">*RX(8) 11 00 BF 69 84 00 00 00 </t>
  </si>
  <si>
    <t xml:space="preserve"> RX(8) 11 00 93 67 84 00 00 00 </t>
  </si>
  <si>
    <t xml:space="preserve">*RX(8) 11 00 64 65 84 00 00 00 </t>
  </si>
  <si>
    <t xml:space="preserve"> RX(8) 11 00 32 63 84 00 00 00 </t>
  </si>
  <si>
    <t xml:space="preserve">*RX(8) 11 00 FD 60 84 00 00 00 </t>
  </si>
  <si>
    <t xml:space="preserve"> RX(8) 11 00 C5 5E 84 00 00 00 </t>
  </si>
  <si>
    <t xml:space="preserve">*RX(8) 11 00 89 5C 84 00 00 00 </t>
  </si>
  <si>
    <t xml:space="preserve"> RX(8) 11 00 4A 5A 84 00 00 00 </t>
  </si>
  <si>
    <t xml:space="preserve">*RX(8) 11 00 08 58 84 00 00 00 </t>
  </si>
  <si>
    <t xml:space="preserve"> RX(8) 11 00 C2 55 84 00 00 00 </t>
  </si>
  <si>
    <t xml:space="preserve">*RX(8) 11 00 79 53 84 00 00 00 </t>
  </si>
  <si>
    <t xml:space="preserve"> RX(8) 11 00 2D 51 84 00 00 00 </t>
  </si>
  <si>
    <t xml:space="preserve">*RX(8) 11 00 DC 4E 84 00 00 00 </t>
  </si>
  <si>
    <t xml:space="preserve"> RX(8) 11 00 89 4C 84 00 00 00 </t>
  </si>
  <si>
    <t xml:space="preserve"> RX(8) 11 00 D6 47 84 00 00 00 </t>
  </si>
  <si>
    <t xml:space="preserve">*RX(8) 11 00 77 45 84 00 00 00 </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</si>
</sst>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22" fontId="0" fillId="0" borderId="0" xfId="0" applyNumberFormat="1"/>
    <xf numFmtId="18" fontId="0" fillId="0" borderId="0" xfId="0" applyNumberFormat="1"/>
    <xf numFmtId="0" fontId="0" fillId="0" borderId="0" xfId="0" applyAlignment="1">
      <alignment horizontal="center"/>
    </xf>
    <xf numFmtId="0" fontId="0" fillId="0" borderId="0" xfId="0" applyAlignment="1">
      <alignment horizontal="left"/>
    </xf>
    <xf numFmtId="0" fontId="0" fillId="0" borderId="0" xfId="0" applyAlignment="1">
      <alignment horizontal="center" wrapText="1"/>
    </xf>
    <xf numFmtId="0" fontId="1" fillId="0" borderId="0" xfId="0" applyNumberFormat="1" applyFont="1" applyFill="1" applyBorder="1" applyAlignment="1" applyProtection="1"/>
    <xf numFmtId="14" fontId="1" fillId="0" borderId="0" xfId="0" applyNumberFormat="1" applyFont="1" applyFill="1" applyBorder="1" applyAlignment="1" applyProtection="1"/>
    <xf numFmtId="18" fontId="1" fillId="0" borderId="0" xfId="0" applyNumberFormat="1" applyFont="1" applyFill="1" applyBorder="1" applyAlignment="1" applyProtection="1"/>
    <xf numFmtId="22" fontId="1" fillId="0" borderId="0" xfId="0" applyNumberFormat="1" applyFont="1" applyFill="1" applyBorder="1" applyAlignment="1" applyProtection="1"/>
    <xf numFmtId="0" fontId="0" fillId="0" borderId="0" xfId="0" quotePrefix="1"/>
    <xf numFmtId="11" fontId="0" fillId="0" borderId="0" xfId="0" quotePrefix="1"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8.7780839895013119E-2"/>
                  <c:y val="-3.515602216389617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Lit>
              <c:formatCode>General</c:formatCode>
              <c:ptCount val="3"/>
              <c:pt idx="0">
                <c:v>201561</c:v>
              </c:pt>
              <c:pt idx="1">
                <c:v>203703</c:v>
              </c:pt>
              <c:pt idx="2">
                <c:v>212495</c:v>
              </c:pt>
            </c:numLit>
          </c:xVal>
          <c:yVal>
            <c:numLit>
              <c:formatCode>General</c:formatCode>
              <c:ptCount val="3"/>
              <c:pt idx="0">
                <c:v>0</c:v>
              </c:pt>
              <c:pt idx="1">
                <c:v>100</c:v>
              </c:pt>
              <c:pt idx="2">
                <c:v>500</c:v>
              </c:pt>
            </c:numLit>
          </c:yVal>
          <c:smooth val="0"/>
          <c:extLst xmlns:c16r2="http://schemas.microsoft.com/office/drawing/2015/06/chart">
            <c:ext xmlns:c16="http://schemas.microsoft.com/office/drawing/2014/chart" uri="{C3380CC4-5D6E-409C-BE32-E72D297353CC}">
              <c16:uniqueId val="{00000001-ED01-4AB3-BF6E-4BE5C403047D}"/>
            </c:ext>
          </c:extLst>
        </c:ser>
        <c:dLbls>
          <c:showLegendKey val="0"/>
          <c:showVal val="0"/>
          <c:showCatName val="0"/>
          <c:showSerName val="0"/>
          <c:showPercent val="0"/>
          <c:showBubbleSize val="0"/>
        </c:dLbls>
        <c:axId val="338031984"/>
        <c:axId val="338032376"/>
      </c:scatterChart>
      <c:valAx>
        <c:axId val="338031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32376"/>
        <c:crosses val="autoZero"/>
        <c:crossBetween val="midCat"/>
      </c:valAx>
      <c:valAx>
        <c:axId val="338032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319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Lit>
              <c:formatCode>General</c:formatCode>
              <c:ptCount val="8"/>
              <c:pt idx="0">
                <c:v>201566.76529053174</c:v>
              </c:pt>
              <c:pt idx="1">
                <c:v>203707.5879992602</c:v>
              </c:pt>
              <c:pt idx="2">
                <c:v>212500.68149234334</c:v>
              </c:pt>
              <c:pt idx="3">
                <c:v>202634.34945276979</c:v>
              </c:pt>
              <c:pt idx="4">
                <c:v>208057.68737300791</c:v>
              </c:pt>
              <c:pt idx="5">
                <c:v>224027.70401967363</c:v>
              </c:pt>
              <c:pt idx="6">
                <c:v>248991.50460635984</c:v>
              </c:pt>
              <c:pt idx="7">
                <c:v>201779.83120443753</c:v>
              </c:pt>
            </c:numLit>
          </c:xVal>
          <c:yVal>
            <c:numLit>
              <c:formatCode>General</c:formatCode>
              <c:ptCount val="8"/>
              <c:pt idx="0">
                <c:v>0</c:v>
              </c:pt>
              <c:pt idx="1">
                <c:v>100</c:v>
              </c:pt>
              <c:pt idx="2">
                <c:v>500</c:v>
              </c:pt>
              <c:pt idx="3">
                <c:v>50</c:v>
              </c:pt>
              <c:pt idx="4">
                <c:v>300</c:v>
              </c:pt>
              <c:pt idx="5">
                <c:v>1000</c:v>
              </c:pt>
              <c:pt idx="6">
                <c:v>2000</c:v>
              </c:pt>
              <c:pt idx="7">
                <c:v>10</c:v>
              </c:pt>
            </c:numLit>
          </c:yVal>
          <c:smooth val="0"/>
          <c:extLst xmlns:c16r2="http://schemas.microsoft.com/office/drawing/2015/06/chart">
            <c:ext xmlns:c16="http://schemas.microsoft.com/office/drawing/2014/chart" uri="{C3380CC4-5D6E-409C-BE32-E72D297353CC}">
              <c16:uniqueId val="{00000000-4C54-4A7B-BAA4-5607435DB6C6}"/>
            </c:ext>
          </c:extLst>
        </c:ser>
        <c:dLbls>
          <c:showLegendKey val="0"/>
          <c:showVal val="0"/>
          <c:showCatName val="0"/>
          <c:showSerName val="0"/>
          <c:showPercent val="0"/>
          <c:showBubbleSize val="0"/>
        </c:dLbls>
        <c:axId val="343913312"/>
        <c:axId val="343914096"/>
      </c:scatterChart>
      <c:valAx>
        <c:axId val="343913312"/>
        <c:scaling>
          <c:orientation val="minMax"/>
          <c:min val="200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914096"/>
        <c:crosses val="autoZero"/>
        <c:crossBetween val="midCat"/>
      </c:valAx>
      <c:valAx>
        <c:axId val="343914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9133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19</xdr:col>
      <xdr:colOff>428625</xdr:colOff>
      <xdr:row>10</xdr:row>
      <xdr:rowOff>157162</xdr:rowOff>
    </xdr:from>
    <xdr:to>
      <xdr:col>27</xdr:col>
      <xdr:colOff>123825</xdr:colOff>
      <xdr:row>25</xdr:row>
      <xdr:rowOff>42862</xdr:rowOff>
    </xdr:to>
    <xdr:graphicFrame macro="">
      <xdr:nvGraphicFramePr>
        <xdr:cNvPr id="2" name="Chart 1">
          <a:extLst>
            <a:ext uri="{FF2B5EF4-FFF2-40B4-BE49-F238E27FC236}">
              <a16:creationId xmlns:a16="http://schemas.microsoft.com/office/drawing/2014/main" xmlns=""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214312</xdr:colOff>
      <xdr:row>17</xdr:row>
      <xdr:rowOff>33337</xdr:rowOff>
    </xdr:from>
    <xdr:to>
      <xdr:col>34</xdr:col>
      <xdr:colOff>328612</xdr:colOff>
      <xdr:row>31</xdr:row>
      <xdr:rowOff>109537</xdr:rowOff>
    </xdr:to>
    <xdr:graphicFrame macro="">
      <xdr:nvGraphicFramePr>
        <xdr:cNvPr id="3" name="Chart 2">
          <a:extLst>
            <a:ext uri="{FF2B5EF4-FFF2-40B4-BE49-F238E27FC236}">
              <a16:creationId xmlns:a16="http://schemas.microsoft.com/office/drawing/2014/main" xmlns=""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28</xdr:row>
      <xdr:rowOff>0</xdr:rowOff>
    </xdr:from>
    <xdr:to>
      <xdr:col>7</xdr:col>
      <xdr:colOff>514350</xdr:colOff>
      <xdr:row>57</xdr:row>
      <xdr:rowOff>19050</xdr:rowOff>
    </xdr:to>
    <xdr:pic>
      <xdr:nvPicPr>
        <xdr:cNvPr id="4" name="Picture 3">
          <a:extLst>
            <a:ext uri="{FF2B5EF4-FFF2-40B4-BE49-F238E27FC236}">
              <a16:creationId xmlns:a16="http://schemas.microsoft.com/office/drawing/2014/main" xmlns="" id="{00000000-0008-0000-06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5334000"/>
          <a:ext cx="5953125" cy="5543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T21"/>
  <sheetViews>
    <sheetView workbookViewId="0">
      <selection activeCell="A17" sqref="A17"/>
    </sheetView>
  </sheetViews>
  <sheetFormatPr defaultRowHeight="15" x14ac:dyDescent="0.25"/>
  <cols>
    <col min="1" max="1" width="33" bestFit="1" customWidth="1"/>
    <col min="2" max="2" width="20.42578125" customWidth="1"/>
    <col min="3" max="3" width="15.28515625" bestFit="1" customWidth="1"/>
    <col min="4" max="4" width="10.7109375" bestFit="1" customWidth="1"/>
    <col min="5" max="5" width="15.140625" bestFit="1" customWidth="1"/>
    <col min="6" max="6" width="10.85546875" bestFit="1" customWidth="1"/>
    <col min="7" max="7" width="14.42578125" bestFit="1" customWidth="1"/>
    <col min="8" max="8" width="16.140625" bestFit="1" customWidth="1"/>
    <col min="9" max="9" width="9.140625" bestFit="1" customWidth="1"/>
    <col min="10" max="10" width="14.42578125" bestFit="1" customWidth="1"/>
    <col min="11" max="11" width="10.7109375" bestFit="1" customWidth="1"/>
    <col min="12" max="12" width="15.140625" bestFit="1" customWidth="1"/>
    <col min="13" max="13" width="10.85546875" bestFit="1" customWidth="1"/>
    <col min="14" max="14" width="14.42578125" bestFit="1" customWidth="1"/>
    <col min="15" max="15" width="16.140625" bestFit="1" customWidth="1"/>
    <col min="17" max="17" width="9.140625" bestFit="1" customWidth="1"/>
    <col min="18" max="18" width="14.42578125" bestFit="1" customWidth="1"/>
    <col min="19" max="19" width="10.7109375" bestFit="1" customWidth="1"/>
    <col min="20" max="20" width="15.140625" bestFit="1" customWidth="1"/>
  </cols>
  <sheetData>
    <row r="2" spans="1:20" x14ac:dyDescent="0.25">
      <c r="B2" t="s">
        <v>780</v>
      </c>
    </row>
    <row r="3" spans="1:20" x14ac:dyDescent="0.25">
      <c r="B3" t="s">
        <v>810</v>
      </c>
    </row>
    <row r="5" spans="1:20" x14ac:dyDescent="0.25">
      <c r="A5" t="s">
        <v>2648</v>
      </c>
    </row>
    <row r="6" spans="1:20" ht="15" customHeight="1" x14ac:dyDescent="0.25"/>
    <row r="7" spans="1:20" ht="45" customHeight="1" x14ac:dyDescent="0.25">
      <c r="A7" s="4" t="s">
        <v>764</v>
      </c>
      <c r="B7" s="4" t="s">
        <v>765</v>
      </c>
      <c r="C7" s="6" t="s">
        <v>2649</v>
      </c>
      <c r="D7" s="4" t="s">
        <v>781</v>
      </c>
      <c r="E7" s="4" t="s">
        <v>786</v>
      </c>
      <c r="F7" s="4" t="s">
        <v>793</v>
      </c>
      <c r="G7" s="4" t="s">
        <v>792</v>
      </c>
      <c r="H7" s="4" t="s">
        <v>795</v>
      </c>
      <c r="I7" s="4" t="s">
        <v>796</v>
      </c>
      <c r="J7" s="6" t="s">
        <v>811</v>
      </c>
      <c r="K7" s="4" t="s">
        <v>799</v>
      </c>
      <c r="L7" s="4" t="s">
        <v>800</v>
      </c>
      <c r="M7" s="4" t="s">
        <v>801</v>
      </c>
      <c r="N7" s="4" t="s">
        <v>802</v>
      </c>
      <c r="O7" s="4" t="s">
        <v>805</v>
      </c>
      <c r="P7" s="4" t="s">
        <v>806</v>
      </c>
      <c r="Q7" s="4" t="s">
        <v>807</v>
      </c>
      <c r="R7" s="6" t="s">
        <v>812</v>
      </c>
      <c r="S7" s="4" t="s">
        <v>808</v>
      </c>
      <c r="T7" s="4" t="s">
        <v>809</v>
      </c>
    </row>
    <row r="8" spans="1:20" x14ac:dyDescent="0.25">
      <c r="A8" t="s">
        <v>2650</v>
      </c>
      <c r="B8" t="s">
        <v>2652</v>
      </c>
      <c r="C8" s="4">
        <v>1</v>
      </c>
      <c r="D8" s="4">
        <v>12</v>
      </c>
      <c r="E8" s="4" t="s">
        <v>787</v>
      </c>
      <c r="F8" s="4" t="s">
        <v>782</v>
      </c>
      <c r="G8" s="4" t="s">
        <v>782</v>
      </c>
      <c r="H8" s="4">
        <v>0</v>
      </c>
      <c r="I8" s="4" t="s">
        <v>782</v>
      </c>
      <c r="J8" s="4">
        <v>0</v>
      </c>
      <c r="K8" s="4">
        <v>0</v>
      </c>
      <c r="L8" s="4" t="s">
        <v>782</v>
      </c>
      <c r="M8" s="4" t="s">
        <v>782</v>
      </c>
      <c r="N8" s="4" t="s">
        <v>782</v>
      </c>
      <c r="O8" s="4">
        <v>0</v>
      </c>
      <c r="P8" s="4" t="s">
        <v>782</v>
      </c>
      <c r="Q8" s="4" t="s">
        <v>782</v>
      </c>
      <c r="R8" s="4">
        <v>0</v>
      </c>
      <c r="S8" s="4">
        <v>0</v>
      </c>
      <c r="T8" s="4" t="s">
        <v>782</v>
      </c>
    </row>
    <row r="9" spans="1:20" x14ac:dyDescent="0.25">
      <c r="A9" t="s">
        <v>2651</v>
      </c>
      <c r="B9" t="s">
        <v>2653</v>
      </c>
      <c r="C9" s="4">
        <v>2</v>
      </c>
      <c r="D9" s="4">
        <v>12</v>
      </c>
      <c r="E9" s="4" t="s">
        <v>787</v>
      </c>
      <c r="F9" s="4" t="s">
        <v>782</v>
      </c>
      <c r="G9" s="4" t="s">
        <v>782</v>
      </c>
      <c r="H9" s="4">
        <v>0</v>
      </c>
      <c r="I9" s="4" t="s">
        <v>782</v>
      </c>
      <c r="J9" s="4">
        <v>0</v>
      </c>
      <c r="K9" s="4">
        <v>0</v>
      </c>
      <c r="L9" s="4" t="s">
        <v>782</v>
      </c>
      <c r="M9" s="4" t="s">
        <v>782</v>
      </c>
      <c r="N9" s="4" t="s">
        <v>782</v>
      </c>
      <c r="O9" s="4">
        <v>0</v>
      </c>
      <c r="P9" s="4" t="s">
        <v>782</v>
      </c>
      <c r="Q9" s="4" t="s">
        <v>782</v>
      </c>
      <c r="R9" s="4">
        <v>0</v>
      </c>
      <c r="S9" s="4">
        <v>0</v>
      </c>
      <c r="T9" s="4" t="s">
        <v>782</v>
      </c>
    </row>
    <row r="10" spans="1:20" x14ac:dyDescent="0.25">
      <c r="A10" s="5" t="s">
        <v>773</v>
      </c>
      <c r="B10" s="5" t="s">
        <v>784</v>
      </c>
      <c r="C10" s="4">
        <v>3</v>
      </c>
      <c r="D10" s="4">
        <v>4</v>
      </c>
      <c r="E10" s="4" t="s">
        <v>789</v>
      </c>
      <c r="F10" s="4" t="s">
        <v>791</v>
      </c>
      <c r="G10" s="4" t="s">
        <v>794</v>
      </c>
      <c r="H10" s="4">
        <v>1</v>
      </c>
      <c r="I10" s="4" t="s">
        <v>798</v>
      </c>
      <c r="J10" s="4">
        <v>0</v>
      </c>
      <c r="K10" s="4">
        <v>4</v>
      </c>
      <c r="L10" s="4" t="s">
        <v>789</v>
      </c>
      <c r="M10" s="4" t="s">
        <v>791</v>
      </c>
      <c r="N10" s="4" t="s">
        <v>804</v>
      </c>
      <c r="O10" s="4">
        <v>0</v>
      </c>
      <c r="P10" s="4" t="s">
        <v>782</v>
      </c>
      <c r="Q10" s="4" t="s">
        <v>782</v>
      </c>
      <c r="R10" s="4">
        <v>2</v>
      </c>
      <c r="S10" s="4">
        <v>4</v>
      </c>
      <c r="T10" s="4" t="s">
        <v>787</v>
      </c>
    </row>
    <row r="11" spans="1:20" x14ac:dyDescent="0.25">
      <c r="A11" s="5" t="s">
        <v>772</v>
      </c>
      <c r="B11" s="5" t="s">
        <v>785</v>
      </c>
      <c r="C11" s="4">
        <v>4</v>
      </c>
      <c r="D11" s="4">
        <v>10</v>
      </c>
      <c r="E11" s="4" t="s">
        <v>787</v>
      </c>
      <c r="F11" s="4" t="s">
        <v>782</v>
      </c>
      <c r="G11" s="4" t="s">
        <v>782</v>
      </c>
      <c r="H11" s="4">
        <v>0</v>
      </c>
      <c r="I11" s="4" t="s">
        <v>782</v>
      </c>
      <c r="J11" s="4">
        <v>0</v>
      </c>
      <c r="K11" s="4">
        <v>0</v>
      </c>
      <c r="L11" s="4" t="s">
        <v>782</v>
      </c>
      <c r="M11" s="4" t="s">
        <v>782</v>
      </c>
      <c r="N11" s="4" t="s">
        <v>782</v>
      </c>
      <c r="O11" s="4">
        <v>0</v>
      </c>
      <c r="P11" s="4" t="s">
        <v>782</v>
      </c>
      <c r="Q11" s="4" t="s">
        <v>782</v>
      </c>
      <c r="R11" s="4">
        <v>0</v>
      </c>
      <c r="S11" s="4">
        <v>0</v>
      </c>
      <c r="T11" s="4" t="s">
        <v>782</v>
      </c>
    </row>
    <row r="12" spans="1:20" x14ac:dyDescent="0.25">
      <c r="A12" s="5" t="s">
        <v>775</v>
      </c>
      <c r="B12" s="5" t="s">
        <v>777</v>
      </c>
      <c r="C12" s="4">
        <v>5</v>
      </c>
      <c r="D12" s="4">
        <v>6</v>
      </c>
      <c r="E12" s="4" t="s">
        <v>789</v>
      </c>
      <c r="F12" s="4" t="s">
        <v>788</v>
      </c>
      <c r="G12" s="4" t="s">
        <v>794</v>
      </c>
      <c r="H12" s="4">
        <v>1</v>
      </c>
      <c r="I12" s="4" t="s">
        <v>797</v>
      </c>
      <c r="J12" s="4">
        <v>0</v>
      </c>
      <c r="K12" s="4">
        <v>4</v>
      </c>
      <c r="L12" s="4" t="s">
        <v>789</v>
      </c>
      <c r="M12" s="4" t="s">
        <v>788</v>
      </c>
      <c r="N12" s="4" t="s">
        <v>803</v>
      </c>
      <c r="O12" s="4">
        <v>2</v>
      </c>
      <c r="P12" s="4" t="s">
        <v>798</v>
      </c>
      <c r="Q12" s="4">
        <f>2^6</f>
        <v>64</v>
      </c>
      <c r="R12" s="4">
        <v>0</v>
      </c>
      <c r="S12" s="4">
        <v>2</v>
      </c>
      <c r="T12" s="4" t="s">
        <v>787</v>
      </c>
    </row>
    <row r="13" spans="1:20" x14ac:dyDescent="0.25">
      <c r="A13" s="5" t="s">
        <v>774</v>
      </c>
      <c r="B13" s="5" t="s">
        <v>779</v>
      </c>
      <c r="C13" s="4">
        <v>6</v>
      </c>
      <c r="D13" s="4">
        <v>10</v>
      </c>
      <c r="E13" s="4" t="s">
        <v>787</v>
      </c>
      <c r="F13" s="4" t="s">
        <v>782</v>
      </c>
      <c r="G13" s="4" t="s">
        <v>782</v>
      </c>
      <c r="H13" s="4">
        <v>0</v>
      </c>
      <c r="I13" s="4" t="s">
        <v>782</v>
      </c>
      <c r="J13" s="4">
        <v>0</v>
      </c>
      <c r="K13" s="4">
        <v>0</v>
      </c>
      <c r="L13" s="4" t="s">
        <v>782</v>
      </c>
      <c r="M13" s="4" t="s">
        <v>782</v>
      </c>
      <c r="N13" s="4" t="s">
        <v>782</v>
      </c>
      <c r="O13" s="4">
        <v>0</v>
      </c>
      <c r="P13" s="4" t="s">
        <v>782</v>
      </c>
      <c r="Q13" s="4" t="s">
        <v>782</v>
      </c>
      <c r="R13" s="4">
        <v>0</v>
      </c>
      <c r="S13" s="4">
        <v>0</v>
      </c>
      <c r="T13" s="4" t="s">
        <v>782</v>
      </c>
    </row>
    <row r="14" spans="1:20" x14ac:dyDescent="0.25">
      <c r="A14" s="5" t="s">
        <v>769</v>
      </c>
      <c r="B14" s="5" t="s">
        <v>777</v>
      </c>
      <c r="C14" s="4">
        <v>7</v>
      </c>
      <c r="D14" s="4">
        <v>6</v>
      </c>
      <c r="E14" s="4" t="s">
        <v>789</v>
      </c>
      <c r="F14" s="4" t="s">
        <v>788</v>
      </c>
      <c r="G14" s="4" t="s">
        <v>794</v>
      </c>
      <c r="H14" s="4">
        <v>1</v>
      </c>
      <c r="I14" s="4" t="s">
        <v>797</v>
      </c>
      <c r="J14" s="4">
        <v>0</v>
      </c>
      <c r="K14" s="4">
        <v>4</v>
      </c>
      <c r="L14" s="4" t="s">
        <v>789</v>
      </c>
      <c r="M14" s="4" t="s">
        <v>788</v>
      </c>
      <c r="N14" s="4" t="s">
        <v>803</v>
      </c>
      <c r="O14" s="4">
        <v>2</v>
      </c>
      <c r="P14" s="4" t="s">
        <v>798</v>
      </c>
      <c r="Q14" s="4">
        <f>2^6</f>
        <v>64</v>
      </c>
      <c r="R14" s="4">
        <v>0</v>
      </c>
      <c r="S14" s="4">
        <v>2</v>
      </c>
      <c r="T14" s="4" t="s">
        <v>787</v>
      </c>
    </row>
    <row r="15" spans="1:20" x14ac:dyDescent="0.25">
      <c r="A15" s="5" t="s">
        <v>768</v>
      </c>
      <c r="B15" s="5" t="s">
        <v>778</v>
      </c>
      <c r="C15" s="4">
        <v>8</v>
      </c>
      <c r="D15" s="4">
        <v>10</v>
      </c>
      <c r="E15" s="4" t="s">
        <v>787</v>
      </c>
      <c r="F15" s="4" t="s">
        <v>782</v>
      </c>
      <c r="G15" s="4" t="s">
        <v>782</v>
      </c>
      <c r="H15" s="4">
        <v>0</v>
      </c>
      <c r="I15" s="4" t="s">
        <v>782</v>
      </c>
      <c r="J15" s="4">
        <v>0</v>
      </c>
      <c r="K15" s="4">
        <v>0</v>
      </c>
      <c r="L15" s="4" t="s">
        <v>782</v>
      </c>
      <c r="M15" s="4" t="s">
        <v>782</v>
      </c>
      <c r="N15" s="4" t="s">
        <v>782</v>
      </c>
      <c r="O15" s="4">
        <v>0</v>
      </c>
      <c r="P15" s="4" t="s">
        <v>782</v>
      </c>
      <c r="Q15" s="4" t="s">
        <v>782</v>
      </c>
      <c r="R15" s="4">
        <v>0</v>
      </c>
      <c r="S15" s="4">
        <v>0</v>
      </c>
      <c r="T15" s="4" t="s">
        <v>782</v>
      </c>
    </row>
    <row r="16" spans="1:20" x14ac:dyDescent="0.25">
      <c r="A16" s="5" t="s">
        <v>771</v>
      </c>
      <c r="B16" s="5" t="s">
        <v>784</v>
      </c>
      <c r="C16" s="4">
        <v>9</v>
      </c>
      <c r="D16" s="4">
        <v>4</v>
      </c>
      <c r="E16" s="4" t="s">
        <v>789</v>
      </c>
      <c r="F16" s="4" t="s">
        <v>790</v>
      </c>
      <c r="G16" s="4" t="s">
        <v>794</v>
      </c>
      <c r="H16" s="4">
        <v>1</v>
      </c>
      <c r="I16" s="4" t="s">
        <v>798</v>
      </c>
      <c r="J16" s="4">
        <v>0</v>
      </c>
      <c r="K16" s="4">
        <v>4</v>
      </c>
      <c r="L16" s="4" t="s">
        <v>789</v>
      </c>
      <c r="M16" s="4" t="s">
        <v>790</v>
      </c>
      <c r="N16" s="4" t="s">
        <v>804</v>
      </c>
      <c r="O16" s="4">
        <v>0</v>
      </c>
      <c r="P16" s="4" t="s">
        <v>782</v>
      </c>
      <c r="Q16" s="4" t="s">
        <v>782</v>
      </c>
      <c r="R16" s="4">
        <v>2</v>
      </c>
      <c r="S16" s="4">
        <v>4</v>
      </c>
      <c r="T16" s="4" t="s">
        <v>787</v>
      </c>
    </row>
    <row r="17" spans="1:20" x14ac:dyDescent="0.25">
      <c r="A17" s="5" t="s">
        <v>770</v>
      </c>
      <c r="B17" s="5" t="s">
        <v>783</v>
      </c>
      <c r="C17" s="4">
        <v>10</v>
      </c>
      <c r="D17" s="4">
        <v>10</v>
      </c>
      <c r="E17" s="4" t="s">
        <v>787</v>
      </c>
      <c r="F17" s="4" t="s">
        <v>782</v>
      </c>
      <c r="G17" s="4" t="s">
        <v>782</v>
      </c>
      <c r="H17" s="4">
        <v>0</v>
      </c>
      <c r="I17" s="4" t="s">
        <v>782</v>
      </c>
      <c r="J17" s="4">
        <v>0</v>
      </c>
      <c r="K17" s="4">
        <v>0</v>
      </c>
      <c r="L17" s="4" t="s">
        <v>782</v>
      </c>
      <c r="M17" s="4" t="s">
        <v>782</v>
      </c>
      <c r="N17" s="4" t="s">
        <v>782</v>
      </c>
      <c r="O17" s="4">
        <v>0</v>
      </c>
      <c r="P17" s="4" t="s">
        <v>782</v>
      </c>
      <c r="Q17" s="4" t="s">
        <v>782</v>
      </c>
      <c r="R17" s="4">
        <v>0</v>
      </c>
      <c r="S17" s="4">
        <v>0</v>
      </c>
      <c r="T17" s="4" t="s">
        <v>782</v>
      </c>
    </row>
    <row r="18" spans="1:20" x14ac:dyDescent="0.25">
      <c r="A18" s="5" t="s">
        <v>767</v>
      </c>
      <c r="B18" s="5" t="s">
        <v>777</v>
      </c>
      <c r="C18" s="4">
        <v>11</v>
      </c>
      <c r="D18" s="4">
        <v>6</v>
      </c>
      <c r="E18" s="4" t="s">
        <v>789</v>
      </c>
      <c r="F18" s="4" t="s">
        <v>788</v>
      </c>
      <c r="G18" s="4" t="s">
        <v>794</v>
      </c>
      <c r="H18" s="4">
        <v>1</v>
      </c>
      <c r="I18" s="4" t="s">
        <v>797</v>
      </c>
      <c r="J18" s="4">
        <v>0</v>
      </c>
      <c r="K18" s="4">
        <v>4</v>
      </c>
      <c r="L18" s="4" t="s">
        <v>789</v>
      </c>
      <c r="M18" s="4" t="s">
        <v>788</v>
      </c>
      <c r="N18" s="4" t="s">
        <v>803</v>
      </c>
      <c r="O18" s="4">
        <v>2</v>
      </c>
      <c r="P18" s="4" t="s">
        <v>798</v>
      </c>
      <c r="Q18" s="4">
        <f>2^6</f>
        <v>64</v>
      </c>
      <c r="R18" s="4">
        <v>0</v>
      </c>
      <c r="S18" s="4">
        <v>2</v>
      </c>
      <c r="T18" s="4" t="s">
        <v>787</v>
      </c>
    </row>
    <row r="19" spans="1:20" x14ac:dyDescent="0.25">
      <c r="A19" s="5" t="s">
        <v>766</v>
      </c>
      <c r="B19" s="5" t="s">
        <v>776</v>
      </c>
      <c r="C19" s="4">
        <v>12</v>
      </c>
      <c r="D19" s="4">
        <v>10</v>
      </c>
      <c r="E19" s="4" t="s">
        <v>787</v>
      </c>
      <c r="F19" s="4" t="s">
        <v>782</v>
      </c>
      <c r="G19" s="4" t="s">
        <v>782</v>
      </c>
      <c r="H19" s="4">
        <v>0</v>
      </c>
      <c r="I19" s="4" t="s">
        <v>782</v>
      </c>
      <c r="J19" s="4">
        <v>0</v>
      </c>
      <c r="K19" s="4">
        <v>0</v>
      </c>
      <c r="L19" s="4" t="s">
        <v>782</v>
      </c>
      <c r="M19" s="4" t="s">
        <v>782</v>
      </c>
      <c r="N19" s="4" t="s">
        <v>782</v>
      </c>
      <c r="O19" s="4">
        <v>0</v>
      </c>
      <c r="P19" s="4" t="s">
        <v>782</v>
      </c>
      <c r="Q19" s="4" t="s">
        <v>782</v>
      </c>
      <c r="R19" s="4">
        <v>0</v>
      </c>
      <c r="S19" s="4">
        <v>0</v>
      </c>
      <c r="T19" s="4" t="s">
        <v>782</v>
      </c>
    </row>
    <row r="20" spans="1:20" x14ac:dyDescent="0.25">
      <c r="A20" s="5" t="s">
        <v>2655</v>
      </c>
      <c r="B20" t="s">
        <v>2657</v>
      </c>
      <c r="C20" s="4">
        <v>13</v>
      </c>
      <c r="D20" s="4">
        <v>12</v>
      </c>
      <c r="E20" s="4" t="s">
        <v>787</v>
      </c>
      <c r="F20" s="4" t="s">
        <v>782</v>
      </c>
      <c r="G20" s="4" t="s">
        <v>782</v>
      </c>
      <c r="H20" s="4">
        <v>0</v>
      </c>
      <c r="I20" s="4" t="s">
        <v>782</v>
      </c>
      <c r="J20" s="4">
        <v>0</v>
      </c>
      <c r="K20" s="4">
        <v>0</v>
      </c>
      <c r="L20" s="4" t="s">
        <v>782</v>
      </c>
      <c r="M20" s="4" t="s">
        <v>782</v>
      </c>
      <c r="N20" s="4" t="s">
        <v>782</v>
      </c>
      <c r="O20" s="4">
        <v>0</v>
      </c>
      <c r="P20" s="4" t="s">
        <v>782</v>
      </c>
      <c r="Q20" s="4" t="s">
        <v>782</v>
      </c>
      <c r="R20" s="4">
        <v>0</v>
      </c>
      <c r="S20" s="4">
        <v>0</v>
      </c>
      <c r="T20" s="4" t="s">
        <v>782</v>
      </c>
    </row>
    <row r="21" spans="1:20" x14ac:dyDescent="0.25">
      <c r="A21" s="5" t="s">
        <v>2656</v>
      </c>
      <c r="B21" t="s">
        <v>2654</v>
      </c>
      <c r="C21" s="4">
        <v>14</v>
      </c>
      <c r="D21" s="4">
        <v>10</v>
      </c>
      <c r="E21" s="4" t="s">
        <v>787</v>
      </c>
      <c r="F21" s="4" t="s">
        <v>782</v>
      </c>
      <c r="G21" s="4" t="s">
        <v>782</v>
      </c>
      <c r="H21" s="4">
        <v>0</v>
      </c>
      <c r="I21" s="4" t="s">
        <v>782</v>
      </c>
      <c r="J21" s="4">
        <v>0</v>
      </c>
      <c r="K21" s="4">
        <v>0</v>
      </c>
      <c r="L21" s="4" t="s">
        <v>782</v>
      </c>
      <c r="M21" s="4" t="s">
        <v>782</v>
      </c>
      <c r="N21" s="4" t="s">
        <v>782</v>
      </c>
      <c r="O21" s="4">
        <v>0</v>
      </c>
      <c r="P21" s="4" t="s">
        <v>782</v>
      </c>
      <c r="Q21" s="4" t="s">
        <v>782</v>
      </c>
      <c r="R21" s="4">
        <v>0</v>
      </c>
      <c r="S21" s="4">
        <v>0</v>
      </c>
      <c r="T21" s="4" t="s">
        <v>782</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42"/>
  <sheetViews>
    <sheetView zoomScaleNormal="100" workbookViewId="0">
      <selection activeCell="C1" sqref="C1"/>
    </sheetView>
  </sheetViews>
  <sheetFormatPr defaultRowHeight="15" x14ac:dyDescent="0.25"/>
  <cols>
    <col min="1" max="1" width="12.85546875" customWidth="1"/>
    <col min="2" max="2" width="14.7109375" bestFit="1" customWidth="1"/>
    <col min="5" max="5" width="9.42578125" customWidth="1"/>
  </cols>
  <sheetData>
    <row r="1" spans="1:20" x14ac:dyDescent="0.25">
      <c r="A1" t="s">
        <v>0</v>
      </c>
    </row>
    <row r="2" spans="1:20" x14ac:dyDescent="0.25">
      <c r="D2" t="s">
        <v>815</v>
      </c>
    </row>
    <row r="3" spans="1:20" x14ac:dyDescent="0.25">
      <c r="A3" s="1" t="s">
        <v>761</v>
      </c>
      <c r="B3" s="1">
        <v>42836</v>
      </c>
    </row>
    <row r="4" spans="1:20" x14ac:dyDescent="0.25">
      <c r="A4" t="s">
        <v>762</v>
      </c>
      <c r="B4" s="3">
        <v>0.68055555555555547</v>
      </c>
      <c r="D4" t="s">
        <v>759</v>
      </c>
    </row>
    <row r="5" spans="1:20" x14ac:dyDescent="0.25">
      <c r="A5" t="s">
        <v>763</v>
      </c>
      <c r="B5" s="3">
        <v>0.69652777777777775</v>
      </c>
      <c r="D5" t="s">
        <v>760</v>
      </c>
      <c r="E5" s="2"/>
    </row>
    <row r="8" spans="1:20" x14ac:dyDescent="0.25">
      <c r="A8" t="s">
        <v>1</v>
      </c>
      <c r="D8" t="s">
        <v>187</v>
      </c>
      <c r="H8" t="s">
        <v>299</v>
      </c>
      <c r="L8" t="s">
        <v>415</v>
      </c>
      <c r="P8" t="s">
        <v>533</v>
      </c>
      <c r="T8" t="s">
        <v>1</v>
      </c>
    </row>
    <row r="9" spans="1:20" x14ac:dyDescent="0.25">
      <c r="A9" t="s">
        <v>2</v>
      </c>
      <c r="D9" t="s">
        <v>2</v>
      </c>
      <c r="H9" t="s">
        <v>2</v>
      </c>
      <c r="L9" t="s">
        <v>2</v>
      </c>
      <c r="P9" t="s">
        <v>2</v>
      </c>
      <c r="T9" t="s">
        <v>2</v>
      </c>
    </row>
    <row r="10" spans="1:20" x14ac:dyDescent="0.25">
      <c r="A10" t="s">
        <v>3</v>
      </c>
      <c r="D10" t="s">
        <v>3</v>
      </c>
      <c r="H10" t="s">
        <v>3</v>
      </c>
      <c r="L10" t="s">
        <v>3</v>
      </c>
      <c r="P10" t="s">
        <v>3</v>
      </c>
      <c r="T10" t="s">
        <v>3</v>
      </c>
    </row>
    <row r="11" spans="1:20" x14ac:dyDescent="0.25">
      <c r="A11" t="s">
        <v>4</v>
      </c>
      <c r="D11" t="s">
        <v>4</v>
      </c>
      <c r="H11" t="s">
        <v>4</v>
      </c>
      <c r="L11" t="s">
        <v>4</v>
      </c>
      <c r="P11" t="s">
        <v>4</v>
      </c>
      <c r="T11" t="s">
        <v>4</v>
      </c>
    </row>
    <row r="12" spans="1:20" x14ac:dyDescent="0.25">
      <c r="A12" t="s">
        <v>5</v>
      </c>
      <c r="D12" t="s">
        <v>5</v>
      </c>
      <c r="H12" t="s">
        <v>5</v>
      </c>
      <c r="L12" t="s">
        <v>5</v>
      </c>
      <c r="P12" t="s">
        <v>5</v>
      </c>
      <c r="T12" t="s">
        <v>5</v>
      </c>
    </row>
    <row r="13" spans="1:20" x14ac:dyDescent="0.25">
      <c r="A13" t="s">
        <v>6</v>
      </c>
      <c r="D13" t="s">
        <v>6</v>
      </c>
      <c r="H13" t="s">
        <v>6</v>
      </c>
      <c r="L13" t="s">
        <v>6</v>
      </c>
      <c r="P13" t="s">
        <v>6</v>
      </c>
      <c r="T13" t="s">
        <v>6</v>
      </c>
    </row>
    <row r="14" spans="1:20" x14ac:dyDescent="0.25">
      <c r="A14" t="s">
        <v>7</v>
      </c>
      <c r="D14" t="s">
        <v>7</v>
      </c>
      <c r="H14" t="s">
        <v>7</v>
      </c>
      <c r="L14" t="s">
        <v>7</v>
      </c>
      <c r="P14" t="s">
        <v>7</v>
      </c>
      <c r="T14" t="s">
        <v>7</v>
      </c>
    </row>
    <row r="15" spans="1:20" x14ac:dyDescent="0.25">
      <c r="A15" t="s">
        <v>8</v>
      </c>
      <c r="D15" t="s">
        <v>8</v>
      </c>
      <c r="H15" t="s">
        <v>8</v>
      </c>
      <c r="L15" t="s">
        <v>8</v>
      </c>
      <c r="P15" t="s">
        <v>8</v>
      </c>
      <c r="T15" t="s">
        <v>8</v>
      </c>
    </row>
    <row r="16" spans="1:20" x14ac:dyDescent="0.25">
      <c r="A16" t="s">
        <v>9</v>
      </c>
      <c r="D16" t="s">
        <v>9</v>
      </c>
      <c r="H16" t="s">
        <v>9</v>
      </c>
      <c r="L16" t="s">
        <v>9</v>
      </c>
      <c r="P16" t="s">
        <v>9</v>
      </c>
      <c r="T16" t="s">
        <v>9</v>
      </c>
    </row>
    <row r="17" spans="1:20" x14ac:dyDescent="0.25">
      <c r="A17" t="s">
        <v>10</v>
      </c>
      <c r="D17" t="s">
        <v>10</v>
      </c>
      <c r="H17" t="s">
        <v>10</v>
      </c>
      <c r="L17" t="s">
        <v>10</v>
      </c>
      <c r="P17" t="s">
        <v>10</v>
      </c>
      <c r="T17" t="s">
        <v>10</v>
      </c>
    </row>
    <row r="18" spans="1:20" x14ac:dyDescent="0.25">
      <c r="A18" t="s">
        <v>11</v>
      </c>
      <c r="D18" t="s">
        <v>11</v>
      </c>
      <c r="H18" t="s">
        <v>11</v>
      </c>
      <c r="L18" t="s">
        <v>11</v>
      </c>
      <c r="P18" t="s">
        <v>11</v>
      </c>
      <c r="T18" t="s">
        <v>11</v>
      </c>
    </row>
    <row r="19" spans="1:20" x14ac:dyDescent="0.25">
      <c r="A19" t="s">
        <v>12</v>
      </c>
      <c r="D19" t="s">
        <v>12</v>
      </c>
      <c r="H19" t="s">
        <v>12</v>
      </c>
      <c r="L19" t="s">
        <v>12</v>
      </c>
      <c r="P19" t="s">
        <v>12</v>
      </c>
      <c r="T19" t="s">
        <v>12</v>
      </c>
    </row>
    <row r="20" spans="1:20" x14ac:dyDescent="0.25">
      <c r="A20" t="s">
        <v>13</v>
      </c>
      <c r="D20" t="s">
        <v>13</v>
      </c>
      <c r="H20" t="s">
        <v>13</v>
      </c>
      <c r="L20" t="s">
        <v>13</v>
      </c>
      <c r="P20" t="s">
        <v>13</v>
      </c>
      <c r="T20" t="s">
        <v>13</v>
      </c>
    </row>
    <row r="22" spans="1:20" x14ac:dyDescent="0.25">
      <c r="A22" t="s">
        <v>14</v>
      </c>
      <c r="D22" t="s">
        <v>14</v>
      </c>
      <c r="H22" t="s">
        <v>14</v>
      </c>
      <c r="L22" t="s">
        <v>14</v>
      </c>
      <c r="P22" t="s">
        <v>14</v>
      </c>
      <c r="T22" t="s">
        <v>14</v>
      </c>
    </row>
    <row r="23" spans="1:20" x14ac:dyDescent="0.25">
      <c r="A23" t="s">
        <v>15</v>
      </c>
      <c r="D23" t="s">
        <v>15</v>
      </c>
      <c r="H23" t="s">
        <v>15</v>
      </c>
      <c r="L23" t="s">
        <v>15</v>
      </c>
      <c r="P23" t="s">
        <v>15</v>
      </c>
      <c r="T23" t="s">
        <v>15</v>
      </c>
    </row>
    <row r="24" spans="1:20" x14ac:dyDescent="0.25">
      <c r="A24" t="s">
        <v>2658</v>
      </c>
      <c r="D24" t="s">
        <v>188</v>
      </c>
      <c r="H24" t="s">
        <v>300</v>
      </c>
      <c r="L24" t="s">
        <v>416</v>
      </c>
      <c r="P24" t="s">
        <v>534</v>
      </c>
      <c r="T24" t="s">
        <v>650</v>
      </c>
    </row>
    <row r="25" spans="1:20" x14ac:dyDescent="0.25">
      <c r="A25" t="s">
        <v>16</v>
      </c>
      <c r="D25" t="s">
        <v>16</v>
      </c>
      <c r="H25" t="s">
        <v>16</v>
      </c>
      <c r="L25" t="s">
        <v>16</v>
      </c>
      <c r="P25" t="s">
        <v>16</v>
      </c>
      <c r="T25" t="s">
        <v>16</v>
      </c>
    </row>
    <row r="26" spans="1:20" x14ac:dyDescent="0.25">
      <c r="A26" t="s">
        <v>17</v>
      </c>
      <c r="D26" t="s">
        <v>189</v>
      </c>
      <c r="H26" t="s">
        <v>301</v>
      </c>
      <c r="L26" t="s">
        <v>417</v>
      </c>
      <c r="P26" t="s">
        <v>535</v>
      </c>
      <c r="T26" t="s">
        <v>651</v>
      </c>
    </row>
    <row r="27" spans="1:20" x14ac:dyDescent="0.25">
      <c r="A27" t="s">
        <v>18</v>
      </c>
      <c r="D27" t="s">
        <v>18</v>
      </c>
      <c r="H27" t="s">
        <v>18</v>
      </c>
      <c r="L27" t="s">
        <v>18</v>
      </c>
      <c r="P27" t="s">
        <v>18</v>
      </c>
      <c r="T27" t="s">
        <v>18</v>
      </c>
    </row>
    <row r="28" spans="1:20" x14ac:dyDescent="0.25">
      <c r="A28" t="s">
        <v>19</v>
      </c>
      <c r="D28" t="s">
        <v>19</v>
      </c>
      <c r="H28" t="s">
        <v>19</v>
      </c>
      <c r="L28" t="s">
        <v>19</v>
      </c>
      <c r="P28" t="s">
        <v>19</v>
      </c>
      <c r="T28" t="s">
        <v>19</v>
      </c>
    </row>
    <row r="29" spans="1:20" x14ac:dyDescent="0.25">
      <c r="A29" t="s">
        <v>20</v>
      </c>
      <c r="D29" t="s">
        <v>20</v>
      </c>
      <c r="H29" t="s">
        <v>20</v>
      </c>
      <c r="L29" t="s">
        <v>20</v>
      </c>
      <c r="P29" t="s">
        <v>20</v>
      </c>
      <c r="T29" t="s">
        <v>20</v>
      </c>
    </row>
    <row r="30" spans="1:20" x14ac:dyDescent="0.25">
      <c r="A30" t="s">
        <v>21</v>
      </c>
      <c r="D30" t="s">
        <v>190</v>
      </c>
      <c r="H30" t="s">
        <v>302</v>
      </c>
      <c r="L30" t="s">
        <v>418</v>
      </c>
      <c r="P30" t="s">
        <v>536</v>
      </c>
      <c r="T30" t="s">
        <v>652</v>
      </c>
    </row>
    <row r="31" spans="1:20" x14ac:dyDescent="0.25">
      <c r="A31" t="s">
        <v>22</v>
      </c>
      <c r="D31" t="s">
        <v>22</v>
      </c>
      <c r="H31" t="s">
        <v>22</v>
      </c>
      <c r="L31" t="s">
        <v>22</v>
      </c>
      <c r="P31" t="s">
        <v>22</v>
      </c>
      <c r="T31" t="s">
        <v>22</v>
      </c>
    </row>
    <row r="32" spans="1:20" x14ac:dyDescent="0.25">
      <c r="A32" t="s">
        <v>23</v>
      </c>
      <c r="D32" t="s">
        <v>191</v>
      </c>
      <c r="H32" t="s">
        <v>303</v>
      </c>
      <c r="L32" t="s">
        <v>419</v>
      </c>
      <c r="P32" t="s">
        <v>537</v>
      </c>
      <c r="T32" t="s">
        <v>653</v>
      </c>
    </row>
    <row r="33" spans="1:20" x14ac:dyDescent="0.25">
      <c r="A33" t="s">
        <v>24</v>
      </c>
      <c r="D33" t="s">
        <v>24</v>
      </c>
      <c r="H33" t="s">
        <v>24</v>
      </c>
      <c r="L33" t="s">
        <v>24</v>
      </c>
      <c r="P33" t="s">
        <v>24</v>
      </c>
      <c r="T33" t="s">
        <v>24</v>
      </c>
    </row>
    <row r="34" spans="1:20" x14ac:dyDescent="0.25">
      <c r="A34" t="s">
        <v>25</v>
      </c>
      <c r="D34" t="s">
        <v>25</v>
      </c>
      <c r="H34" t="s">
        <v>25</v>
      </c>
      <c r="L34" t="s">
        <v>25</v>
      </c>
      <c r="P34" t="s">
        <v>25</v>
      </c>
      <c r="T34" t="s">
        <v>25</v>
      </c>
    </row>
    <row r="35" spans="1:20" x14ac:dyDescent="0.25">
      <c r="A35" t="s">
        <v>26</v>
      </c>
      <c r="D35" t="s">
        <v>26</v>
      </c>
      <c r="H35" t="s">
        <v>26</v>
      </c>
      <c r="L35" t="s">
        <v>26</v>
      </c>
      <c r="P35" t="s">
        <v>26</v>
      </c>
      <c r="T35" t="s">
        <v>26</v>
      </c>
    </row>
    <row r="37" spans="1:20" x14ac:dyDescent="0.25">
      <c r="A37" t="s">
        <v>8</v>
      </c>
      <c r="D37" t="s">
        <v>8</v>
      </c>
      <c r="H37" t="s">
        <v>8</v>
      </c>
      <c r="L37" t="s">
        <v>8</v>
      </c>
      <c r="P37" t="s">
        <v>8</v>
      </c>
      <c r="T37" t="s">
        <v>8</v>
      </c>
    </row>
    <row r="38" spans="1:20" x14ac:dyDescent="0.25">
      <c r="A38" t="s">
        <v>9</v>
      </c>
      <c r="D38" t="s">
        <v>9</v>
      </c>
      <c r="H38" t="s">
        <v>9</v>
      </c>
      <c r="L38" t="s">
        <v>9</v>
      </c>
      <c r="P38" t="s">
        <v>9</v>
      </c>
      <c r="T38" t="s">
        <v>9</v>
      </c>
    </row>
    <row r="39" spans="1:20" x14ac:dyDescent="0.25">
      <c r="A39" t="s">
        <v>27</v>
      </c>
      <c r="D39" t="s">
        <v>192</v>
      </c>
      <c r="H39" t="s">
        <v>304</v>
      </c>
      <c r="L39" t="s">
        <v>420</v>
      </c>
      <c r="P39" t="s">
        <v>538</v>
      </c>
      <c r="T39" t="s">
        <v>654</v>
      </c>
    </row>
    <row r="40" spans="1:20" x14ac:dyDescent="0.25">
      <c r="A40" t="s">
        <v>28</v>
      </c>
      <c r="D40" t="s">
        <v>28</v>
      </c>
      <c r="H40" t="s">
        <v>28</v>
      </c>
      <c r="L40" t="s">
        <v>28</v>
      </c>
      <c r="P40" t="s">
        <v>28</v>
      </c>
      <c r="T40" t="s">
        <v>28</v>
      </c>
    </row>
    <row r="41" spans="1:20" x14ac:dyDescent="0.25">
      <c r="A41" t="s">
        <v>29</v>
      </c>
      <c r="D41" t="s">
        <v>193</v>
      </c>
      <c r="H41" t="s">
        <v>305</v>
      </c>
      <c r="L41" t="s">
        <v>421</v>
      </c>
      <c r="P41" t="s">
        <v>539</v>
      </c>
      <c r="T41" t="s">
        <v>655</v>
      </c>
    </row>
    <row r="42" spans="1:20" x14ac:dyDescent="0.25">
      <c r="A42" t="s">
        <v>30</v>
      </c>
      <c r="D42" t="s">
        <v>30</v>
      </c>
      <c r="H42" t="s">
        <v>30</v>
      </c>
      <c r="L42" t="s">
        <v>30</v>
      </c>
      <c r="P42" t="s">
        <v>30</v>
      </c>
      <c r="T42" t="s">
        <v>30</v>
      </c>
    </row>
    <row r="43" spans="1:20" x14ac:dyDescent="0.25">
      <c r="A43" t="s">
        <v>31</v>
      </c>
      <c r="D43" t="s">
        <v>31</v>
      </c>
      <c r="H43" t="s">
        <v>31</v>
      </c>
      <c r="L43" t="s">
        <v>31</v>
      </c>
      <c r="P43" t="s">
        <v>31</v>
      </c>
      <c r="T43" t="s">
        <v>31</v>
      </c>
    </row>
    <row r="44" spans="1:20" x14ac:dyDescent="0.25">
      <c r="A44" t="s">
        <v>32</v>
      </c>
      <c r="D44" t="s">
        <v>32</v>
      </c>
      <c r="H44" t="s">
        <v>32</v>
      </c>
      <c r="L44" t="s">
        <v>32</v>
      </c>
      <c r="P44" t="s">
        <v>32</v>
      </c>
      <c r="T44" t="s">
        <v>32</v>
      </c>
    </row>
    <row r="45" spans="1:20" x14ac:dyDescent="0.25">
      <c r="A45" t="s">
        <v>33</v>
      </c>
      <c r="D45" t="s">
        <v>194</v>
      </c>
      <c r="H45" t="s">
        <v>306</v>
      </c>
      <c r="L45" t="s">
        <v>422</v>
      </c>
      <c r="P45" t="s">
        <v>540</v>
      </c>
      <c r="T45" t="s">
        <v>656</v>
      </c>
    </row>
    <row r="46" spans="1:20" x14ac:dyDescent="0.25">
      <c r="A46" t="s">
        <v>34</v>
      </c>
      <c r="D46" t="s">
        <v>34</v>
      </c>
      <c r="H46" t="s">
        <v>34</v>
      </c>
      <c r="L46" t="s">
        <v>34</v>
      </c>
      <c r="P46" t="s">
        <v>34</v>
      </c>
      <c r="T46" t="s">
        <v>34</v>
      </c>
    </row>
    <row r="47" spans="1:20" x14ac:dyDescent="0.25">
      <c r="A47" t="s">
        <v>35</v>
      </c>
      <c r="D47" t="s">
        <v>195</v>
      </c>
      <c r="H47" t="s">
        <v>307</v>
      </c>
      <c r="L47" t="s">
        <v>423</v>
      </c>
      <c r="P47" t="s">
        <v>541</v>
      </c>
      <c r="T47" t="s">
        <v>657</v>
      </c>
    </row>
    <row r="48" spans="1:20" x14ac:dyDescent="0.25">
      <c r="A48" t="s">
        <v>36</v>
      </c>
      <c r="D48" t="s">
        <v>36</v>
      </c>
      <c r="H48" t="s">
        <v>36</v>
      </c>
      <c r="L48" t="s">
        <v>36</v>
      </c>
      <c r="P48" t="s">
        <v>36</v>
      </c>
      <c r="T48" t="s">
        <v>36</v>
      </c>
    </row>
    <row r="49" spans="1:20" x14ac:dyDescent="0.25">
      <c r="A49" t="s">
        <v>37</v>
      </c>
      <c r="D49" t="s">
        <v>37</v>
      </c>
      <c r="H49" t="s">
        <v>37</v>
      </c>
      <c r="L49" t="s">
        <v>37</v>
      </c>
      <c r="P49" t="s">
        <v>37</v>
      </c>
      <c r="T49" t="s">
        <v>37</v>
      </c>
    </row>
    <row r="50" spans="1:20" x14ac:dyDescent="0.25">
      <c r="A50" t="s">
        <v>38</v>
      </c>
      <c r="D50" t="s">
        <v>38</v>
      </c>
      <c r="H50" t="s">
        <v>38</v>
      </c>
      <c r="L50" t="s">
        <v>38</v>
      </c>
      <c r="P50" t="s">
        <v>38</v>
      </c>
      <c r="T50" t="s">
        <v>38</v>
      </c>
    </row>
    <row r="52" spans="1:20" x14ac:dyDescent="0.25">
      <c r="A52" t="s">
        <v>14</v>
      </c>
      <c r="D52" t="s">
        <v>14</v>
      </c>
      <c r="H52" t="s">
        <v>14</v>
      </c>
      <c r="L52" t="s">
        <v>14</v>
      </c>
      <c r="P52" t="s">
        <v>14</v>
      </c>
      <c r="T52" t="s">
        <v>14</v>
      </c>
    </row>
    <row r="53" spans="1:20" x14ac:dyDescent="0.25">
      <c r="A53" t="s">
        <v>15</v>
      </c>
      <c r="D53" t="s">
        <v>15</v>
      </c>
      <c r="H53" t="s">
        <v>15</v>
      </c>
      <c r="L53" t="s">
        <v>15</v>
      </c>
      <c r="P53" t="s">
        <v>15</v>
      </c>
      <c r="T53" t="s">
        <v>15</v>
      </c>
    </row>
    <row r="54" spans="1:20" x14ac:dyDescent="0.25">
      <c r="A54" t="s">
        <v>39</v>
      </c>
      <c r="D54" t="s">
        <v>196</v>
      </c>
      <c r="H54" t="s">
        <v>308</v>
      </c>
      <c r="L54" t="s">
        <v>424</v>
      </c>
      <c r="P54" t="s">
        <v>542</v>
      </c>
      <c r="T54" t="s">
        <v>658</v>
      </c>
    </row>
    <row r="55" spans="1:20" x14ac:dyDescent="0.25">
      <c r="A55" t="s">
        <v>16</v>
      </c>
      <c r="D55" t="s">
        <v>16</v>
      </c>
      <c r="H55" t="s">
        <v>16</v>
      </c>
      <c r="L55" t="s">
        <v>16</v>
      </c>
      <c r="P55" t="s">
        <v>16</v>
      </c>
      <c r="T55" t="s">
        <v>16</v>
      </c>
    </row>
    <row r="56" spans="1:20" x14ac:dyDescent="0.25">
      <c r="A56" t="s">
        <v>40</v>
      </c>
      <c r="D56" t="s">
        <v>197</v>
      </c>
      <c r="H56" t="s">
        <v>309</v>
      </c>
      <c r="L56" t="s">
        <v>425</v>
      </c>
      <c r="P56" t="s">
        <v>543</v>
      </c>
      <c r="T56" t="s">
        <v>659</v>
      </c>
    </row>
    <row r="57" spans="1:20" x14ac:dyDescent="0.25">
      <c r="A57" t="s">
        <v>18</v>
      </c>
      <c r="D57" t="s">
        <v>18</v>
      </c>
      <c r="H57" t="s">
        <v>18</v>
      </c>
      <c r="L57" t="s">
        <v>18</v>
      </c>
      <c r="P57" t="s">
        <v>18</v>
      </c>
      <c r="T57" t="s">
        <v>18</v>
      </c>
    </row>
    <row r="58" spans="1:20" x14ac:dyDescent="0.25">
      <c r="A58" t="s">
        <v>19</v>
      </c>
      <c r="D58" t="s">
        <v>19</v>
      </c>
      <c r="H58" t="s">
        <v>19</v>
      </c>
      <c r="L58" t="s">
        <v>19</v>
      </c>
      <c r="P58" t="s">
        <v>19</v>
      </c>
      <c r="T58" t="s">
        <v>19</v>
      </c>
    </row>
    <row r="59" spans="1:20" x14ac:dyDescent="0.25">
      <c r="A59" t="s">
        <v>20</v>
      </c>
      <c r="D59" t="s">
        <v>20</v>
      </c>
      <c r="H59" t="s">
        <v>20</v>
      </c>
      <c r="L59" t="s">
        <v>20</v>
      </c>
      <c r="P59" t="s">
        <v>20</v>
      </c>
      <c r="T59" t="s">
        <v>20</v>
      </c>
    </row>
    <row r="60" spans="1:20" x14ac:dyDescent="0.25">
      <c r="A60" t="s">
        <v>41</v>
      </c>
      <c r="D60" t="s">
        <v>198</v>
      </c>
      <c r="H60" t="s">
        <v>310</v>
      </c>
      <c r="L60" t="s">
        <v>426</v>
      </c>
      <c r="P60" t="s">
        <v>544</v>
      </c>
      <c r="T60" t="s">
        <v>660</v>
      </c>
    </row>
    <row r="61" spans="1:20" x14ac:dyDescent="0.25">
      <c r="A61" t="s">
        <v>22</v>
      </c>
      <c r="D61" t="s">
        <v>22</v>
      </c>
      <c r="H61" t="s">
        <v>22</v>
      </c>
      <c r="L61" t="s">
        <v>22</v>
      </c>
      <c r="P61" t="s">
        <v>22</v>
      </c>
      <c r="T61" t="s">
        <v>22</v>
      </c>
    </row>
    <row r="62" spans="1:20" x14ac:dyDescent="0.25">
      <c r="A62" t="s">
        <v>42</v>
      </c>
      <c r="D62" t="s">
        <v>199</v>
      </c>
      <c r="H62" t="s">
        <v>311</v>
      </c>
      <c r="L62" t="s">
        <v>427</v>
      </c>
      <c r="P62" t="s">
        <v>545</v>
      </c>
      <c r="T62" t="s">
        <v>661</v>
      </c>
    </row>
    <row r="63" spans="1:20" x14ac:dyDescent="0.25">
      <c r="A63" t="s">
        <v>24</v>
      </c>
      <c r="D63" t="s">
        <v>24</v>
      </c>
      <c r="H63" t="s">
        <v>24</v>
      </c>
      <c r="L63" t="s">
        <v>24</v>
      </c>
      <c r="P63" t="s">
        <v>24</v>
      </c>
      <c r="T63" t="s">
        <v>24</v>
      </c>
    </row>
    <row r="64" spans="1:20" x14ac:dyDescent="0.25">
      <c r="A64" t="s">
        <v>25</v>
      </c>
      <c r="D64" t="s">
        <v>25</v>
      </c>
      <c r="H64" t="s">
        <v>25</v>
      </c>
      <c r="L64" t="s">
        <v>25</v>
      </c>
      <c r="P64" t="s">
        <v>25</v>
      </c>
      <c r="T64" t="s">
        <v>25</v>
      </c>
    </row>
    <row r="65" spans="1:20" x14ac:dyDescent="0.25">
      <c r="A65" t="s">
        <v>26</v>
      </c>
      <c r="D65" t="s">
        <v>26</v>
      </c>
      <c r="H65" t="s">
        <v>26</v>
      </c>
      <c r="L65" t="s">
        <v>26</v>
      </c>
      <c r="P65" t="s">
        <v>26</v>
      </c>
      <c r="T65" t="s">
        <v>26</v>
      </c>
    </row>
    <row r="67" spans="1:20" x14ac:dyDescent="0.25">
      <c r="A67" t="s">
        <v>8</v>
      </c>
      <c r="D67" t="s">
        <v>8</v>
      </c>
      <c r="H67" t="s">
        <v>8</v>
      </c>
      <c r="L67" t="s">
        <v>8</v>
      </c>
      <c r="P67" t="s">
        <v>8</v>
      </c>
      <c r="T67" t="s">
        <v>8</v>
      </c>
    </row>
    <row r="68" spans="1:20" x14ac:dyDescent="0.25">
      <c r="A68" t="s">
        <v>9</v>
      </c>
      <c r="D68" t="s">
        <v>9</v>
      </c>
      <c r="H68" t="s">
        <v>9</v>
      </c>
      <c r="L68" t="s">
        <v>9</v>
      </c>
      <c r="P68" t="s">
        <v>9</v>
      </c>
      <c r="T68" t="s">
        <v>9</v>
      </c>
    </row>
    <row r="69" spans="1:20" x14ac:dyDescent="0.25">
      <c r="A69" t="s">
        <v>43</v>
      </c>
      <c r="D69" t="s">
        <v>200</v>
      </c>
      <c r="H69" t="s">
        <v>312</v>
      </c>
      <c r="L69" t="s">
        <v>428</v>
      </c>
      <c r="P69" t="s">
        <v>546</v>
      </c>
      <c r="T69" t="s">
        <v>662</v>
      </c>
    </row>
    <row r="70" spans="1:20" x14ac:dyDescent="0.25">
      <c r="A70" t="s">
        <v>28</v>
      </c>
      <c r="D70" t="s">
        <v>28</v>
      </c>
      <c r="H70" t="s">
        <v>28</v>
      </c>
      <c r="L70" t="s">
        <v>28</v>
      </c>
      <c r="P70" t="s">
        <v>28</v>
      </c>
      <c r="T70" t="s">
        <v>28</v>
      </c>
    </row>
    <row r="71" spans="1:20" x14ac:dyDescent="0.25">
      <c r="A71" t="s">
        <v>44</v>
      </c>
      <c r="D71" t="s">
        <v>201</v>
      </c>
      <c r="H71" t="s">
        <v>313</v>
      </c>
      <c r="L71" t="s">
        <v>429</v>
      </c>
      <c r="P71" t="s">
        <v>547</v>
      </c>
      <c r="T71" t="s">
        <v>663</v>
      </c>
    </row>
    <row r="72" spans="1:20" x14ac:dyDescent="0.25">
      <c r="A72" t="s">
        <v>30</v>
      </c>
      <c r="D72" t="s">
        <v>30</v>
      </c>
      <c r="H72" t="s">
        <v>30</v>
      </c>
      <c r="L72" t="s">
        <v>30</v>
      </c>
      <c r="P72" t="s">
        <v>30</v>
      </c>
      <c r="T72" t="s">
        <v>30</v>
      </c>
    </row>
    <row r="73" spans="1:20" x14ac:dyDescent="0.25">
      <c r="A73" t="s">
        <v>31</v>
      </c>
      <c r="D73" t="s">
        <v>31</v>
      </c>
      <c r="H73" t="s">
        <v>31</v>
      </c>
      <c r="L73" t="s">
        <v>31</v>
      </c>
      <c r="P73" t="s">
        <v>31</v>
      </c>
      <c r="T73" t="s">
        <v>31</v>
      </c>
    </row>
    <row r="74" spans="1:20" x14ac:dyDescent="0.25">
      <c r="A74" t="s">
        <v>32</v>
      </c>
      <c r="D74" t="s">
        <v>32</v>
      </c>
      <c r="H74" t="s">
        <v>32</v>
      </c>
      <c r="L74" t="s">
        <v>32</v>
      </c>
      <c r="P74" t="s">
        <v>32</v>
      </c>
      <c r="T74" t="s">
        <v>32</v>
      </c>
    </row>
    <row r="75" spans="1:20" x14ac:dyDescent="0.25">
      <c r="A75" t="s">
        <v>45</v>
      </c>
      <c r="D75" t="s">
        <v>202</v>
      </c>
      <c r="H75" t="s">
        <v>314</v>
      </c>
      <c r="L75" t="s">
        <v>430</v>
      </c>
      <c r="P75" t="s">
        <v>548</v>
      </c>
      <c r="T75" t="s">
        <v>664</v>
      </c>
    </row>
    <row r="76" spans="1:20" x14ac:dyDescent="0.25">
      <c r="A76" t="s">
        <v>34</v>
      </c>
      <c r="D76" t="s">
        <v>34</v>
      </c>
      <c r="H76" t="s">
        <v>34</v>
      </c>
      <c r="L76" t="s">
        <v>34</v>
      </c>
      <c r="P76" t="s">
        <v>34</v>
      </c>
      <c r="T76" t="s">
        <v>34</v>
      </c>
    </row>
    <row r="77" spans="1:20" x14ac:dyDescent="0.25">
      <c r="A77" t="s">
        <v>46</v>
      </c>
      <c r="D77" t="s">
        <v>203</v>
      </c>
      <c r="H77" t="s">
        <v>315</v>
      </c>
      <c r="L77" t="s">
        <v>431</v>
      </c>
      <c r="P77" t="s">
        <v>549</v>
      </c>
      <c r="T77" t="s">
        <v>665</v>
      </c>
    </row>
    <row r="78" spans="1:20" x14ac:dyDescent="0.25">
      <c r="A78" t="s">
        <v>36</v>
      </c>
      <c r="D78" t="s">
        <v>36</v>
      </c>
      <c r="H78" t="s">
        <v>36</v>
      </c>
      <c r="L78" t="s">
        <v>36</v>
      </c>
      <c r="P78" t="s">
        <v>36</v>
      </c>
      <c r="T78" t="s">
        <v>36</v>
      </c>
    </row>
    <row r="79" spans="1:20" x14ac:dyDescent="0.25">
      <c r="A79" t="s">
        <v>37</v>
      </c>
      <c r="D79" t="s">
        <v>37</v>
      </c>
      <c r="H79" t="s">
        <v>37</v>
      </c>
      <c r="L79" t="s">
        <v>37</v>
      </c>
      <c r="P79" t="s">
        <v>37</v>
      </c>
      <c r="T79" t="s">
        <v>37</v>
      </c>
    </row>
    <row r="80" spans="1:20" x14ac:dyDescent="0.25">
      <c r="A80" t="s">
        <v>38</v>
      </c>
      <c r="D80" t="s">
        <v>38</v>
      </c>
      <c r="H80" t="s">
        <v>38</v>
      </c>
      <c r="L80" t="s">
        <v>38</v>
      </c>
      <c r="P80" t="s">
        <v>38</v>
      </c>
      <c r="T80" t="s">
        <v>38</v>
      </c>
    </row>
    <row r="82" spans="1:20" x14ac:dyDescent="0.25">
      <c r="A82" t="s">
        <v>14</v>
      </c>
      <c r="D82" t="s">
        <v>14</v>
      </c>
      <c r="H82" t="s">
        <v>14</v>
      </c>
      <c r="L82" t="s">
        <v>14</v>
      </c>
      <c r="P82" t="s">
        <v>14</v>
      </c>
      <c r="T82" t="s">
        <v>14</v>
      </c>
    </row>
    <row r="83" spans="1:20" x14ac:dyDescent="0.25">
      <c r="A83" t="s">
        <v>15</v>
      </c>
      <c r="D83" t="s">
        <v>15</v>
      </c>
      <c r="H83" t="s">
        <v>15</v>
      </c>
      <c r="L83" t="s">
        <v>15</v>
      </c>
      <c r="P83" t="s">
        <v>15</v>
      </c>
      <c r="T83" t="s">
        <v>15</v>
      </c>
    </row>
    <row r="84" spans="1:20" x14ac:dyDescent="0.25">
      <c r="A84" t="s">
        <v>47</v>
      </c>
      <c r="D84" t="s">
        <v>204</v>
      </c>
      <c r="H84" t="s">
        <v>316</v>
      </c>
      <c r="L84" t="s">
        <v>432</v>
      </c>
      <c r="P84" t="s">
        <v>550</v>
      </c>
      <c r="T84" t="s">
        <v>666</v>
      </c>
    </row>
    <row r="85" spans="1:20" x14ac:dyDescent="0.25">
      <c r="A85" t="s">
        <v>16</v>
      </c>
      <c r="D85" t="s">
        <v>16</v>
      </c>
      <c r="H85" t="s">
        <v>16</v>
      </c>
      <c r="L85" t="s">
        <v>16</v>
      </c>
      <c r="P85" t="s">
        <v>16</v>
      </c>
      <c r="T85" t="s">
        <v>16</v>
      </c>
    </row>
    <row r="86" spans="1:20" x14ac:dyDescent="0.25">
      <c r="A86" t="s">
        <v>48</v>
      </c>
      <c r="D86" t="s">
        <v>205</v>
      </c>
      <c r="H86" t="s">
        <v>317</v>
      </c>
      <c r="L86" t="s">
        <v>433</v>
      </c>
      <c r="P86" t="s">
        <v>551</v>
      </c>
      <c r="T86" t="s">
        <v>667</v>
      </c>
    </row>
    <row r="87" spans="1:20" x14ac:dyDescent="0.25">
      <c r="A87" t="s">
        <v>18</v>
      </c>
      <c r="D87" t="s">
        <v>18</v>
      </c>
      <c r="H87" t="s">
        <v>18</v>
      </c>
      <c r="L87" t="s">
        <v>18</v>
      </c>
      <c r="P87" t="s">
        <v>18</v>
      </c>
      <c r="T87" t="s">
        <v>18</v>
      </c>
    </row>
    <row r="88" spans="1:20" x14ac:dyDescent="0.25">
      <c r="A88" t="s">
        <v>19</v>
      </c>
      <c r="D88" t="s">
        <v>19</v>
      </c>
      <c r="H88" t="s">
        <v>19</v>
      </c>
      <c r="L88" t="s">
        <v>19</v>
      </c>
      <c r="P88" t="s">
        <v>19</v>
      </c>
      <c r="T88" t="s">
        <v>19</v>
      </c>
    </row>
    <row r="89" spans="1:20" x14ac:dyDescent="0.25">
      <c r="A89" t="s">
        <v>20</v>
      </c>
      <c r="D89" t="s">
        <v>20</v>
      </c>
      <c r="H89" t="s">
        <v>20</v>
      </c>
      <c r="L89" t="s">
        <v>20</v>
      </c>
      <c r="P89" t="s">
        <v>20</v>
      </c>
      <c r="T89" t="s">
        <v>20</v>
      </c>
    </row>
    <row r="90" spans="1:20" x14ac:dyDescent="0.25">
      <c r="A90" t="s">
        <v>49</v>
      </c>
      <c r="D90" t="s">
        <v>206</v>
      </c>
      <c r="H90" t="s">
        <v>318</v>
      </c>
      <c r="L90" t="s">
        <v>434</v>
      </c>
      <c r="P90" t="s">
        <v>552</v>
      </c>
      <c r="T90" t="s">
        <v>57</v>
      </c>
    </row>
    <row r="91" spans="1:20" x14ac:dyDescent="0.25">
      <c r="A91" t="s">
        <v>22</v>
      </c>
      <c r="D91" t="s">
        <v>22</v>
      </c>
      <c r="H91" t="s">
        <v>22</v>
      </c>
      <c r="L91" t="s">
        <v>22</v>
      </c>
      <c r="P91" t="s">
        <v>22</v>
      </c>
      <c r="T91" t="s">
        <v>22</v>
      </c>
    </row>
    <row r="92" spans="1:20" x14ac:dyDescent="0.25">
      <c r="A92" t="s">
        <v>50</v>
      </c>
      <c r="D92" t="s">
        <v>207</v>
      </c>
      <c r="H92" t="s">
        <v>319</v>
      </c>
      <c r="L92" t="s">
        <v>435</v>
      </c>
      <c r="P92" t="s">
        <v>553</v>
      </c>
      <c r="T92" t="s">
        <v>58</v>
      </c>
    </row>
    <row r="93" spans="1:20" x14ac:dyDescent="0.25">
      <c r="A93" t="s">
        <v>24</v>
      </c>
      <c r="D93" t="s">
        <v>24</v>
      </c>
      <c r="H93" t="s">
        <v>24</v>
      </c>
      <c r="L93" t="s">
        <v>24</v>
      </c>
      <c r="P93" t="s">
        <v>24</v>
      </c>
      <c r="T93" t="s">
        <v>24</v>
      </c>
    </row>
    <row r="94" spans="1:20" x14ac:dyDescent="0.25">
      <c r="A94" t="s">
        <v>25</v>
      </c>
      <c r="D94" t="s">
        <v>25</v>
      </c>
      <c r="H94" t="s">
        <v>25</v>
      </c>
      <c r="L94" t="s">
        <v>25</v>
      </c>
      <c r="P94" t="s">
        <v>25</v>
      </c>
      <c r="T94" t="s">
        <v>25</v>
      </c>
    </row>
    <row r="95" spans="1:20" x14ac:dyDescent="0.25">
      <c r="A95" t="s">
        <v>26</v>
      </c>
      <c r="D95" t="s">
        <v>26</v>
      </c>
      <c r="H95" t="s">
        <v>26</v>
      </c>
      <c r="L95" t="s">
        <v>26</v>
      </c>
      <c r="P95" t="s">
        <v>26</v>
      </c>
      <c r="T95" t="s">
        <v>26</v>
      </c>
    </row>
    <row r="97" spans="1:20" x14ac:dyDescent="0.25">
      <c r="A97" t="s">
        <v>8</v>
      </c>
      <c r="D97" t="s">
        <v>8</v>
      </c>
      <c r="H97" t="s">
        <v>8</v>
      </c>
      <c r="L97" t="s">
        <v>8</v>
      </c>
      <c r="P97" t="s">
        <v>8</v>
      </c>
      <c r="T97" t="s">
        <v>8</v>
      </c>
    </row>
    <row r="98" spans="1:20" x14ac:dyDescent="0.25">
      <c r="A98" t="s">
        <v>9</v>
      </c>
      <c r="D98" t="s">
        <v>9</v>
      </c>
      <c r="H98" t="s">
        <v>9</v>
      </c>
      <c r="L98" t="s">
        <v>9</v>
      </c>
      <c r="P98" t="s">
        <v>9</v>
      </c>
      <c r="T98" t="s">
        <v>9</v>
      </c>
    </row>
    <row r="99" spans="1:20" x14ac:dyDescent="0.25">
      <c r="A99" t="s">
        <v>51</v>
      </c>
      <c r="D99" t="s">
        <v>208</v>
      </c>
      <c r="H99" t="s">
        <v>320</v>
      </c>
      <c r="L99" t="s">
        <v>436</v>
      </c>
      <c r="P99" t="s">
        <v>554</v>
      </c>
      <c r="T99" t="s">
        <v>668</v>
      </c>
    </row>
    <row r="100" spans="1:20" x14ac:dyDescent="0.25">
      <c r="A100" t="s">
        <v>28</v>
      </c>
      <c r="D100" t="s">
        <v>28</v>
      </c>
      <c r="H100" t="s">
        <v>28</v>
      </c>
      <c r="L100" t="s">
        <v>28</v>
      </c>
      <c r="P100" t="s">
        <v>28</v>
      </c>
      <c r="T100" t="s">
        <v>28</v>
      </c>
    </row>
    <row r="101" spans="1:20" x14ac:dyDescent="0.25">
      <c r="A101" t="s">
        <v>52</v>
      </c>
      <c r="D101" t="s">
        <v>209</v>
      </c>
      <c r="H101" t="s">
        <v>321</v>
      </c>
      <c r="L101" t="s">
        <v>437</v>
      </c>
      <c r="P101" t="s">
        <v>555</v>
      </c>
      <c r="T101" t="s">
        <v>669</v>
      </c>
    </row>
    <row r="102" spans="1:20" x14ac:dyDescent="0.25">
      <c r="A102" t="s">
        <v>30</v>
      </c>
      <c r="D102" t="s">
        <v>30</v>
      </c>
      <c r="H102" t="s">
        <v>30</v>
      </c>
      <c r="L102" t="s">
        <v>30</v>
      </c>
      <c r="P102" t="s">
        <v>30</v>
      </c>
      <c r="T102" t="s">
        <v>30</v>
      </c>
    </row>
    <row r="103" spans="1:20" x14ac:dyDescent="0.25">
      <c r="A103" t="s">
        <v>31</v>
      </c>
      <c r="D103" t="s">
        <v>31</v>
      </c>
      <c r="H103" t="s">
        <v>31</v>
      </c>
      <c r="L103" t="s">
        <v>31</v>
      </c>
      <c r="P103" t="s">
        <v>31</v>
      </c>
      <c r="T103" t="s">
        <v>31</v>
      </c>
    </row>
    <row r="104" spans="1:20" x14ac:dyDescent="0.25">
      <c r="A104" t="s">
        <v>32</v>
      </c>
      <c r="D104" t="s">
        <v>32</v>
      </c>
      <c r="H104" t="s">
        <v>32</v>
      </c>
      <c r="L104" t="s">
        <v>32</v>
      </c>
      <c r="P104" t="s">
        <v>32</v>
      </c>
      <c r="T104" t="s">
        <v>32</v>
      </c>
    </row>
    <row r="105" spans="1:20" x14ac:dyDescent="0.25">
      <c r="A105" t="s">
        <v>53</v>
      </c>
      <c r="D105" t="s">
        <v>210</v>
      </c>
      <c r="H105" t="s">
        <v>322</v>
      </c>
      <c r="L105" t="s">
        <v>438</v>
      </c>
      <c r="P105" t="s">
        <v>556</v>
      </c>
      <c r="T105" t="s">
        <v>670</v>
      </c>
    </row>
    <row r="106" spans="1:20" x14ac:dyDescent="0.25">
      <c r="A106" t="s">
        <v>34</v>
      </c>
      <c r="D106" t="s">
        <v>34</v>
      </c>
      <c r="H106" t="s">
        <v>34</v>
      </c>
      <c r="L106" t="s">
        <v>34</v>
      </c>
      <c r="P106" t="s">
        <v>34</v>
      </c>
      <c r="T106" t="s">
        <v>34</v>
      </c>
    </row>
    <row r="107" spans="1:20" x14ac:dyDescent="0.25">
      <c r="A107" t="s">
        <v>54</v>
      </c>
      <c r="D107" t="s">
        <v>211</v>
      </c>
      <c r="H107" t="s">
        <v>323</v>
      </c>
      <c r="L107" t="s">
        <v>439</v>
      </c>
      <c r="P107" t="s">
        <v>557</v>
      </c>
      <c r="T107" t="s">
        <v>671</v>
      </c>
    </row>
    <row r="108" spans="1:20" x14ac:dyDescent="0.25">
      <c r="A108" t="s">
        <v>36</v>
      </c>
      <c r="D108" t="s">
        <v>36</v>
      </c>
      <c r="H108" t="s">
        <v>36</v>
      </c>
      <c r="L108" t="s">
        <v>36</v>
      </c>
      <c r="P108" t="s">
        <v>36</v>
      </c>
      <c r="T108" t="s">
        <v>36</v>
      </c>
    </row>
    <row r="109" spans="1:20" x14ac:dyDescent="0.25">
      <c r="A109" t="s">
        <v>37</v>
      </c>
      <c r="D109" t="s">
        <v>37</v>
      </c>
      <c r="H109" t="s">
        <v>37</v>
      </c>
      <c r="L109" t="s">
        <v>37</v>
      </c>
      <c r="P109" t="s">
        <v>37</v>
      </c>
      <c r="T109" t="s">
        <v>37</v>
      </c>
    </row>
    <row r="110" spans="1:20" x14ac:dyDescent="0.25">
      <c r="A110" t="s">
        <v>38</v>
      </c>
      <c r="D110" t="s">
        <v>38</v>
      </c>
      <c r="H110" t="s">
        <v>38</v>
      </c>
      <c r="L110" t="s">
        <v>38</v>
      </c>
      <c r="P110" t="s">
        <v>38</v>
      </c>
      <c r="T110" t="s">
        <v>38</v>
      </c>
    </row>
    <row r="112" spans="1:20" x14ac:dyDescent="0.25">
      <c r="A112" t="s">
        <v>14</v>
      </c>
      <c r="D112" t="s">
        <v>14</v>
      </c>
      <c r="H112" t="s">
        <v>14</v>
      </c>
      <c r="L112" t="s">
        <v>14</v>
      </c>
      <c r="P112" t="s">
        <v>14</v>
      </c>
      <c r="T112" t="s">
        <v>14</v>
      </c>
    </row>
    <row r="113" spans="1:20" x14ac:dyDescent="0.25">
      <c r="A113" t="s">
        <v>15</v>
      </c>
      <c r="D113" t="s">
        <v>15</v>
      </c>
      <c r="H113" t="s">
        <v>15</v>
      </c>
      <c r="L113" t="s">
        <v>15</v>
      </c>
      <c r="P113" t="s">
        <v>15</v>
      </c>
      <c r="T113" t="s">
        <v>15</v>
      </c>
    </row>
    <row r="114" spans="1:20" x14ac:dyDescent="0.25">
      <c r="A114" t="s">
        <v>55</v>
      </c>
      <c r="D114" t="s">
        <v>212</v>
      </c>
      <c r="H114" t="s">
        <v>324</v>
      </c>
      <c r="L114" t="s">
        <v>440</v>
      </c>
      <c r="P114" t="s">
        <v>558</v>
      </c>
      <c r="T114" t="s">
        <v>672</v>
      </c>
    </row>
    <row r="115" spans="1:20" x14ac:dyDescent="0.25">
      <c r="A115" t="s">
        <v>16</v>
      </c>
      <c r="D115" t="s">
        <v>16</v>
      </c>
      <c r="H115" t="s">
        <v>16</v>
      </c>
      <c r="L115" t="s">
        <v>16</v>
      </c>
      <c r="P115" t="s">
        <v>16</v>
      </c>
      <c r="T115" t="s">
        <v>16</v>
      </c>
    </row>
    <row r="116" spans="1:20" x14ac:dyDescent="0.25">
      <c r="A116" t="s">
        <v>56</v>
      </c>
      <c r="D116" t="s">
        <v>213</v>
      </c>
      <c r="H116" t="s">
        <v>325</v>
      </c>
      <c r="L116" t="s">
        <v>441</v>
      </c>
      <c r="P116" t="s">
        <v>559</v>
      </c>
      <c r="T116" t="s">
        <v>673</v>
      </c>
    </row>
    <row r="117" spans="1:20" x14ac:dyDescent="0.25">
      <c r="A117" t="s">
        <v>18</v>
      </c>
      <c r="D117" t="s">
        <v>18</v>
      </c>
      <c r="H117" t="s">
        <v>18</v>
      </c>
      <c r="L117" t="s">
        <v>18</v>
      </c>
      <c r="P117" t="s">
        <v>18</v>
      </c>
      <c r="T117" t="s">
        <v>18</v>
      </c>
    </row>
    <row r="118" spans="1:20" x14ac:dyDescent="0.25">
      <c r="A118" t="s">
        <v>19</v>
      </c>
      <c r="D118" t="s">
        <v>19</v>
      </c>
      <c r="H118" t="s">
        <v>19</v>
      </c>
      <c r="L118" t="s">
        <v>19</v>
      </c>
      <c r="P118" t="s">
        <v>19</v>
      </c>
      <c r="T118" t="s">
        <v>19</v>
      </c>
    </row>
    <row r="119" spans="1:20" x14ac:dyDescent="0.25">
      <c r="A119" t="s">
        <v>20</v>
      </c>
      <c r="D119" t="s">
        <v>20</v>
      </c>
      <c r="H119" t="s">
        <v>20</v>
      </c>
      <c r="L119" t="s">
        <v>20</v>
      </c>
      <c r="P119" t="s">
        <v>20</v>
      </c>
      <c r="T119" t="s">
        <v>20</v>
      </c>
    </row>
    <row r="120" spans="1:20" x14ac:dyDescent="0.25">
      <c r="A120" t="s">
        <v>57</v>
      </c>
      <c r="D120" t="s">
        <v>214</v>
      </c>
      <c r="H120" t="s">
        <v>326</v>
      </c>
      <c r="L120" t="s">
        <v>442</v>
      </c>
      <c r="P120" t="s">
        <v>560</v>
      </c>
      <c r="T120" t="s">
        <v>135</v>
      </c>
    </row>
    <row r="121" spans="1:20" x14ac:dyDescent="0.25">
      <c r="A121" t="s">
        <v>22</v>
      </c>
      <c r="D121" t="s">
        <v>22</v>
      </c>
      <c r="H121" t="s">
        <v>22</v>
      </c>
      <c r="L121" t="s">
        <v>22</v>
      </c>
      <c r="P121" t="s">
        <v>22</v>
      </c>
      <c r="T121" t="s">
        <v>22</v>
      </c>
    </row>
    <row r="122" spans="1:20" x14ac:dyDescent="0.25">
      <c r="A122" t="s">
        <v>58</v>
      </c>
      <c r="D122" t="s">
        <v>215</v>
      </c>
      <c r="H122" t="s">
        <v>327</v>
      </c>
      <c r="L122" t="s">
        <v>443</v>
      </c>
      <c r="P122" t="s">
        <v>561</v>
      </c>
      <c r="T122" t="s">
        <v>136</v>
      </c>
    </row>
    <row r="123" spans="1:20" x14ac:dyDescent="0.25">
      <c r="A123" t="s">
        <v>24</v>
      </c>
      <c r="D123" t="s">
        <v>24</v>
      </c>
      <c r="H123" t="s">
        <v>24</v>
      </c>
      <c r="L123" t="s">
        <v>24</v>
      </c>
      <c r="P123" t="s">
        <v>24</v>
      </c>
      <c r="T123" t="s">
        <v>24</v>
      </c>
    </row>
    <row r="124" spans="1:20" x14ac:dyDescent="0.25">
      <c r="A124" t="s">
        <v>25</v>
      </c>
      <c r="D124" t="s">
        <v>25</v>
      </c>
      <c r="H124" t="s">
        <v>25</v>
      </c>
      <c r="L124" t="s">
        <v>25</v>
      </c>
      <c r="P124" t="s">
        <v>25</v>
      </c>
      <c r="T124" t="s">
        <v>25</v>
      </c>
    </row>
    <row r="125" spans="1:20" x14ac:dyDescent="0.25">
      <c r="A125" t="s">
        <v>26</v>
      </c>
      <c r="D125" t="s">
        <v>26</v>
      </c>
      <c r="H125" t="s">
        <v>26</v>
      </c>
      <c r="L125" t="s">
        <v>26</v>
      </c>
      <c r="P125" t="s">
        <v>26</v>
      </c>
      <c r="T125" t="s">
        <v>26</v>
      </c>
    </row>
    <row r="127" spans="1:20" x14ac:dyDescent="0.25">
      <c r="A127" t="s">
        <v>8</v>
      </c>
      <c r="D127" t="s">
        <v>8</v>
      </c>
      <c r="H127" t="s">
        <v>8</v>
      </c>
      <c r="L127" t="s">
        <v>8</v>
      </c>
      <c r="P127" t="s">
        <v>8</v>
      </c>
      <c r="T127" t="s">
        <v>8</v>
      </c>
    </row>
    <row r="128" spans="1:20" x14ac:dyDescent="0.25">
      <c r="A128" t="s">
        <v>9</v>
      </c>
      <c r="D128" t="s">
        <v>9</v>
      </c>
      <c r="H128" t="s">
        <v>9</v>
      </c>
      <c r="L128" t="s">
        <v>9</v>
      </c>
      <c r="P128" t="s">
        <v>9</v>
      </c>
      <c r="T128" t="s">
        <v>9</v>
      </c>
    </row>
    <row r="129" spans="1:20" x14ac:dyDescent="0.25">
      <c r="A129" t="s">
        <v>59</v>
      </c>
      <c r="D129" t="s">
        <v>216</v>
      </c>
      <c r="H129" t="s">
        <v>328</v>
      </c>
      <c r="L129" t="s">
        <v>444</v>
      </c>
      <c r="P129" t="s">
        <v>562</v>
      </c>
      <c r="T129" t="s">
        <v>674</v>
      </c>
    </row>
    <row r="130" spans="1:20" x14ac:dyDescent="0.25">
      <c r="A130" t="s">
        <v>28</v>
      </c>
      <c r="D130" t="s">
        <v>28</v>
      </c>
      <c r="H130" t="s">
        <v>28</v>
      </c>
      <c r="L130" t="s">
        <v>28</v>
      </c>
      <c r="P130" t="s">
        <v>28</v>
      </c>
      <c r="T130" t="s">
        <v>28</v>
      </c>
    </row>
    <row r="131" spans="1:20" x14ac:dyDescent="0.25">
      <c r="A131" t="s">
        <v>60</v>
      </c>
      <c r="D131" t="s">
        <v>217</v>
      </c>
      <c r="H131" t="s">
        <v>329</v>
      </c>
      <c r="L131" t="s">
        <v>445</v>
      </c>
      <c r="P131" t="s">
        <v>563</v>
      </c>
      <c r="T131" t="s">
        <v>675</v>
      </c>
    </row>
    <row r="132" spans="1:20" x14ac:dyDescent="0.25">
      <c r="A132" t="s">
        <v>30</v>
      </c>
      <c r="D132" t="s">
        <v>30</v>
      </c>
      <c r="H132" t="s">
        <v>30</v>
      </c>
      <c r="L132" t="s">
        <v>30</v>
      </c>
      <c r="P132" t="s">
        <v>30</v>
      </c>
      <c r="T132" t="s">
        <v>30</v>
      </c>
    </row>
    <row r="133" spans="1:20" x14ac:dyDescent="0.25">
      <c r="A133" t="s">
        <v>31</v>
      </c>
      <c r="D133" t="s">
        <v>31</v>
      </c>
      <c r="H133" t="s">
        <v>31</v>
      </c>
      <c r="L133" t="s">
        <v>31</v>
      </c>
      <c r="P133" t="s">
        <v>31</v>
      </c>
      <c r="T133" t="s">
        <v>31</v>
      </c>
    </row>
    <row r="134" spans="1:20" x14ac:dyDescent="0.25">
      <c r="A134" t="s">
        <v>32</v>
      </c>
      <c r="D134" t="s">
        <v>32</v>
      </c>
      <c r="H134" t="s">
        <v>32</v>
      </c>
      <c r="L134" t="s">
        <v>32</v>
      </c>
      <c r="P134" t="s">
        <v>32</v>
      </c>
      <c r="T134" t="s">
        <v>32</v>
      </c>
    </row>
    <row r="135" spans="1:20" x14ac:dyDescent="0.25">
      <c r="A135" t="s">
        <v>61</v>
      </c>
      <c r="D135" t="s">
        <v>218</v>
      </c>
      <c r="H135" t="s">
        <v>330</v>
      </c>
      <c r="L135" t="s">
        <v>446</v>
      </c>
      <c r="P135" t="s">
        <v>564</v>
      </c>
      <c r="T135" t="s">
        <v>676</v>
      </c>
    </row>
    <row r="136" spans="1:20" x14ac:dyDescent="0.25">
      <c r="A136" t="s">
        <v>34</v>
      </c>
      <c r="D136" t="s">
        <v>34</v>
      </c>
      <c r="H136" t="s">
        <v>34</v>
      </c>
      <c r="L136" t="s">
        <v>34</v>
      </c>
      <c r="P136" t="s">
        <v>34</v>
      </c>
      <c r="T136" t="s">
        <v>34</v>
      </c>
    </row>
    <row r="137" spans="1:20" x14ac:dyDescent="0.25">
      <c r="A137" t="s">
        <v>62</v>
      </c>
      <c r="D137" t="s">
        <v>219</v>
      </c>
      <c r="H137" t="s">
        <v>331</v>
      </c>
      <c r="L137" t="s">
        <v>447</v>
      </c>
      <c r="P137" t="s">
        <v>565</v>
      </c>
      <c r="T137" t="s">
        <v>677</v>
      </c>
    </row>
    <row r="138" spans="1:20" x14ac:dyDescent="0.25">
      <c r="A138" t="s">
        <v>36</v>
      </c>
      <c r="D138" t="s">
        <v>36</v>
      </c>
      <c r="H138" t="s">
        <v>36</v>
      </c>
      <c r="L138" t="s">
        <v>36</v>
      </c>
      <c r="P138" t="s">
        <v>36</v>
      </c>
      <c r="T138" t="s">
        <v>36</v>
      </c>
    </row>
    <row r="139" spans="1:20" x14ac:dyDescent="0.25">
      <c r="A139" t="s">
        <v>37</v>
      </c>
      <c r="D139" t="s">
        <v>37</v>
      </c>
      <c r="H139" t="s">
        <v>37</v>
      </c>
      <c r="L139" t="s">
        <v>37</v>
      </c>
      <c r="P139" t="s">
        <v>37</v>
      </c>
      <c r="T139" t="s">
        <v>37</v>
      </c>
    </row>
    <row r="140" spans="1:20" x14ac:dyDescent="0.25">
      <c r="A140" t="s">
        <v>38</v>
      </c>
      <c r="D140" t="s">
        <v>38</v>
      </c>
      <c r="H140" t="s">
        <v>38</v>
      </c>
      <c r="L140" t="s">
        <v>38</v>
      </c>
      <c r="P140" t="s">
        <v>38</v>
      </c>
      <c r="T140" t="s">
        <v>38</v>
      </c>
    </row>
    <row r="142" spans="1:20" x14ac:dyDescent="0.25">
      <c r="A142" t="s">
        <v>14</v>
      </c>
      <c r="D142" t="s">
        <v>14</v>
      </c>
      <c r="H142" t="s">
        <v>14</v>
      </c>
      <c r="L142" t="s">
        <v>14</v>
      </c>
      <c r="P142" t="s">
        <v>14</v>
      </c>
      <c r="T142" t="s">
        <v>14</v>
      </c>
    </row>
    <row r="143" spans="1:20" x14ac:dyDescent="0.25">
      <c r="A143" t="s">
        <v>15</v>
      </c>
      <c r="D143" t="s">
        <v>15</v>
      </c>
      <c r="H143" t="s">
        <v>15</v>
      </c>
      <c r="L143" t="s">
        <v>15</v>
      </c>
      <c r="P143" t="s">
        <v>15</v>
      </c>
      <c r="T143" t="s">
        <v>15</v>
      </c>
    </row>
    <row r="144" spans="1:20" x14ac:dyDescent="0.25">
      <c r="A144" t="s">
        <v>63</v>
      </c>
      <c r="D144" t="s">
        <v>220</v>
      </c>
      <c r="H144" t="s">
        <v>332</v>
      </c>
      <c r="L144" t="s">
        <v>448</v>
      </c>
      <c r="P144" t="s">
        <v>566</v>
      </c>
      <c r="T144" t="s">
        <v>678</v>
      </c>
    </row>
    <row r="145" spans="1:20" x14ac:dyDescent="0.25">
      <c r="A145" t="s">
        <v>16</v>
      </c>
      <c r="D145" t="s">
        <v>16</v>
      </c>
      <c r="H145" t="s">
        <v>16</v>
      </c>
      <c r="L145" t="s">
        <v>16</v>
      </c>
      <c r="P145" t="s">
        <v>16</v>
      </c>
      <c r="T145" t="s">
        <v>16</v>
      </c>
    </row>
    <row r="146" spans="1:20" x14ac:dyDescent="0.25">
      <c r="A146" t="s">
        <v>64</v>
      </c>
      <c r="D146" t="s">
        <v>221</v>
      </c>
      <c r="H146" t="s">
        <v>333</v>
      </c>
      <c r="L146" t="s">
        <v>449</v>
      </c>
      <c r="P146" t="s">
        <v>567</v>
      </c>
      <c r="T146" t="s">
        <v>679</v>
      </c>
    </row>
    <row r="147" spans="1:20" x14ac:dyDescent="0.25">
      <c r="A147" t="s">
        <v>18</v>
      </c>
      <c r="D147" t="s">
        <v>18</v>
      </c>
      <c r="H147" t="s">
        <v>18</v>
      </c>
      <c r="L147" t="s">
        <v>18</v>
      </c>
      <c r="P147" t="s">
        <v>18</v>
      </c>
      <c r="T147" t="s">
        <v>18</v>
      </c>
    </row>
    <row r="148" spans="1:20" x14ac:dyDescent="0.25">
      <c r="A148" t="s">
        <v>19</v>
      </c>
      <c r="D148" t="s">
        <v>19</v>
      </c>
      <c r="H148" t="s">
        <v>19</v>
      </c>
      <c r="L148" t="s">
        <v>19</v>
      </c>
      <c r="P148" t="s">
        <v>19</v>
      </c>
      <c r="T148" t="s">
        <v>19</v>
      </c>
    </row>
    <row r="149" spans="1:20" x14ac:dyDescent="0.25">
      <c r="A149" t="s">
        <v>20</v>
      </c>
      <c r="D149" t="s">
        <v>20</v>
      </c>
      <c r="H149" t="s">
        <v>20</v>
      </c>
      <c r="L149" t="s">
        <v>20</v>
      </c>
      <c r="P149" t="s">
        <v>20</v>
      </c>
      <c r="T149" t="s">
        <v>20</v>
      </c>
    </row>
    <row r="150" spans="1:20" x14ac:dyDescent="0.25">
      <c r="A150" t="s">
        <v>65</v>
      </c>
      <c r="D150" t="s">
        <v>222</v>
      </c>
      <c r="H150" t="s">
        <v>334</v>
      </c>
      <c r="L150" t="s">
        <v>450</v>
      </c>
      <c r="P150" t="s">
        <v>568</v>
      </c>
      <c r="T150" t="s">
        <v>680</v>
      </c>
    </row>
    <row r="151" spans="1:20" x14ac:dyDescent="0.25">
      <c r="A151" t="s">
        <v>22</v>
      </c>
      <c r="D151" t="s">
        <v>22</v>
      </c>
      <c r="H151" t="s">
        <v>22</v>
      </c>
      <c r="L151" t="s">
        <v>22</v>
      </c>
      <c r="P151" t="s">
        <v>22</v>
      </c>
      <c r="T151" t="s">
        <v>22</v>
      </c>
    </row>
    <row r="152" spans="1:20" x14ac:dyDescent="0.25">
      <c r="A152" t="s">
        <v>66</v>
      </c>
      <c r="D152" t="s">
        <v>223</v>
      </c>
      <c r="H152" t="s">
        <v>335</v>
      </c>
      <c r="L152" t="s">
        <v>451</v>
      </c>
      <c r="P152" t="s">
        <v>569</v>
      </c>
      <c r="T152" t="s">
        <v>681</v>
      </c>
    </row>
    <row r="153" spans="1:20" x14ac:dyDescent="0.25">
      <c r="A153" t="s">
        <v>24</v>
      </c>
      <c r="D153" t="s">
        <v>24</v>
      </c>
      <c r="H153" t="s">
        <v>24</v>
      </c>
      <c r="L153" t="s">
        <v>24</v>
      </c>
      <c r="P153" t="s">
        <v>24</v>
      </c>
      <c r="T153" t="s">
        <v>24</v>
      </c>
    </row>
    <row r="154" spans="1:20" x14ac:dyDescent="0.25">
      <c r="A154" t="s">
        <v>25</v>
      </c>
      <c r="D154" t="s">
        <v>25</v>
      </c>
      <c r="H154" t="s">
        <v>25</v>
      </c>
      <c r="L154" t="s">
        <v>25</v>
      </c>
      <c r="P154" t="s">
        <v>25</v>
      </c>
      <c r="T154" t="s">
        <v>25</v>
      </c>
    </row>
    <row r="155" spans="1:20" x14ac:dyDescent="0.25">
      <c r="A155" t="s">
        <v>26</v>
      </c>
      <c r="D155" t="s">
        <v>26</v>
      </c>
      <c r="H155" t="s">
        <v>26</v>
      </c>
      <c r="L155" t="s">
        <v>26</v>
      </c>
      <c r="P155" t="s">
        <v>26</v>
      </c>
      <c r="T155" t="s">
        <v>26</v>
      </c>
    </row>
    <row r="157" spans="1:20" x14ac:dyDescent="0.25">
      <c r="A157" t="s">
        <v>8</v>
      </c>
      <c r="D157" t="s">
        <v>8</v>
      </c>
      <c r="H157" t="s">
        <v>8</v>
      </c>
      <c r="L157" t="s">
        <v>8</v>
      </c>
      <c r="P157" t="s">
        <v>8</v>
      </c>
      <c r="T157" t="s">
        <v>8</v>
      </c>
    </row>
    <row r="158" spans="1:20" x14ac:dyDescent="0.25">
      <c r="A158" t="s">
        <v>9</v>
      </c>
      <c r="D158" t="s">
        <v>9</v>
      </c>
      <c r="H158" t="s">
        <v>9</v>
      </c>
      <c r="L158" t="s">
        <v>9</v>
      </c>
      <c r="P158" t="s">
        <v>9</v>
      </c>
      <c r="T158" t="s">
        <v>9</v>
      </c>
    </row>
    <row r="159" spans="1:20" x14ac:dyDescent="0.25">
      <c r="A159" t="s">
        <v>67</v>
      </c>
      <c r="D159" t="s">
        <v>224</v>
      </c>
      <c r="H159" t="s">
        <v>336</v>
      </c>
      <c r="L159" t="s">
        <v>452</v>
      </c>
      <c r="P159" t="s">
        <v>570</v>
      </c>
      <c r="T159" t="s">
        <v>682</v>
      </c>
    </row>
    <row r="160" spans="1:20" x14ac:dyDescent="0.25">
      <c r="A160" t="s">
        <v>28</v>
      </c>
      <c r="D160" t="s">
        <v>28</v>
      </c>
      <c r="H160" t="s">
        <v>28</v>
      </c>
      <c r="L160" t="s">
        <v>28</v>
      </c>
      <c r="P160" t="s">
        <v>28</v>
      </c>
      <c r="T160" t="s">
        <v>28</v>
      </c>
    </row>
    <row r="161" spans="1:20" x14ac:dyDescent="0.25">
      <c r="A161" t="s">
        <v>68</v>
      </c>
      <c r="D161" t="s">
        <v>225</v>
      </c>
      <c r="H161" t="s">
        <v>337</v>
      </c>
      <c r="L161" t="s">
        <v>453</v>
      </c>
      <c r="P161" t="s">
        <v>571</v>
      </c>
      <c r="T161" t="s">
        <v>683</v>
      </c>
    </row>
    <row r="162" spans="1:20" x14ac:dyDescent="0.25">
      <c r="A162" t="s">
        <v>30</v>
      </c>
      <c r="D162" t="s">
        <v>30</v>
      </c>
      <c r="H162" t="s">
        <v>30</v>
      </c>
      <c r="L162" t="s">
        <v>30</v>
      </c>
      <c r="P162" t="s">
        <v>30</v>
      </c>
      <c r="T162" t="s">
        <v>30</v>
      </c>
    </row>
    <row r="163" spans="1:20" x14ac:dyDescent="0.25">
      <c r="A163" t="s">
        <v>31</v>
      </c>
      <c r="D163" t="s">
        <v>31</v>
      </c>
      <c r="H163" t="s">
        <v>31</v>
      </c>
      <c r="L163" t="s">
        <v>31</v>
      </c>
      <c r="P163" t="s">
        <v>31</v>
      </c>
      <c r="T163" t="s">
        <v>31</v>
      </c>
    </row>
    <row r="164" spans="1:20" x14ac:dyDescent="0.25">
      <c r="A164" t="s">
        <v>32</v>
      </c>
      <c r="D164" t="s">
        <v>32</v>
      </c>
      <c r="H164" t="s">
        <v>32</v>
      </c>
      <c r="L164" t="s">
        <v>32</v>
      </c>
      <c r="P164" t="s">
        <v>32</v>
      </c>
      <c r="T164" t="s">
        <v>32</v>
      </c>
    </row>
    <row r="165" spans="1:20" x14ac:dyDescent="0.25">
      <c r="A165" t="s">
        <v>69</v>
      </c>
      <c r="D165" t="s">
        <v>226</v>
      </c>
      <c r="H165" t="s">
        <v>322</v>
      </c>
      <c r="L165" t="s">
        <v>454</v>
      </c>
      <c r="P165" t="s">
        <v>572</v>
      </c>
      <c r="T165" t="s">
        <v>684</v>
      </c>
    </row>
    <row r="166" spans="1:20" x14ac:dyDescent="0.25">
      <c r="A166" t="s">
        <v>34</v>
      </c>
      <c r="D166" t="s">
        <v>34</v>
      </c>
      <c r="H166" t="s">
        <v>34</v>
      </c>
      <c r="L166" t="s">
        <v>34</v>
      </c>
      <c r="P166" t="s">
        <v>34</v>
      </c>
      <c r="T166" t="s">
        <v>34</v>
      </c>
    </row>
    <row r="167" spans="1:20" x14ac:dyDescent="0.25">
      <c r="A167" t="s">
        <v>70</v>
      </c>
      <c r="D167" t="s">
        <v>227</v>
      </c>
      <c r="H167" t="s">
        <v>323</v>
      </c>
      <c r="L167" t="s">
        <v>455</v>
      </c>
      <c r="P167" t="s">
        <v>573</v>
      </c>
      <c r="T167" t="s">
        <v>685</v>
      </c>
    </row>
    <row r="168" spans="1:20" x14ac:dyDescent="0.25">
      <c r="A168" t="s">
        <v>36</v>
      </c>
      <c r="D168" t="s">
        <v>36</v>
      </c>
      <c r="H168" t="s">
        <v>36</v>
      </c>
      <c r="L168" t="s">
        <v>36</v>
      </c>
      <c r="P168" t="s">
        <v>36</v>
      </c>
      <c r="T168" t="s">
        <v>36</v>
      </c>
    </row>
    <row r="169" spans="1:20" x14ac:dyDescent="0.25">
      <c r="A169" t="s">
        <v>37</v>
      </c>
      <c r="D169" t="s">
        <v>37</v>
      </c>
      <c r="H169" t="s">
        <v>37</v>
      </c>
      <c r="L169" t="s">
        <v>37</v>
      </c>
      <c r="P169" t="s">
        <v>37</v>
      </c>
      <c r="T169" t="s">
        <v>37</v>
      </c>
    </row>
    <row r="170" spans="1:20" x14ac:dyDescent="0.25">
      <c r="A170" t="s">
        <v>38</v>
      </c>
      <c r="D170" t="s">
        <v>38</v>
      </c>
      <c r="H170" t="s">
        <v>38</v>
      </c>
      <c r="L170" t="s">
        <v>38</v>
      </c>
      <c r="P170" t="s">
        <v>38</v>
      </c>
      <c r="T170" t="s">
        <v>38</v>
      </c>
    </row>
    <row r="172" spans="1:20" x14ac:dyDescent="0.25">
      <c r="A172" t="s">
        <v>14</v>
      </c>
      <c r="D172" t="s">
        <v>14</v>
      </c>
      <c r="H172" t="s">
        <v>14</v>
      </c>
      <c r="L172" t="s">
        <v>14</v>
      </c>
      <c r="P172" t="s">
        <v>14</v>
      </c>
      <c r="T172" t="s">
        <v>14</v>
      </c>
    </row>
    <row r="173" spans="1:20" x14ac:dyDescent="0.25">
      <c r="A173" t="s">
        <v>15</v>
      </c>
      <c r="D173" t="s">
        <v>15</v>
      </c>
      <c r="H173" t="s">
        <v>15</v>
      </c>
      <c r="L173" t="s">
        <v>15</v>
      </c>
      <c r="P173" t="s">
        <v>15</v>
      </c>
      <c r="T173" t="s">
        <v>15</v>
      </c>
    </row>
    <row r="174" spans="1:20" x14ac:dyDescent="0.25">
      <c r="A174" t="s">
        <v>71</v>
      </c>
      <c r="D174" t="s">
        <v>228</v>
      </c>
      <c r="H174" t="s">
        <v>338</v>
      </c>
      <c r="L174" t="s">
        <v>456</v>
      </c>
      <c r="P174" t="s">
        <v>574</v>
      </c>
      <c r="T174" t="s">
        <v>686</v>
      </c>
    </row>
    <row r="175" spans="1:20" x14ac:dyDescent="0.25">
      <c r="A175" t="s">
        <v>16</v>
      </c>
      <c r="D175" t="s">
        <v>16</v>
      </c>
      <c r="H175" t="s">
        <v>16</v>
      </c>
      <c r="L175" t="s">
        <v>16</v>
      </c>
      <c r="P175" t="s">
        <v>16</v>
      </c>
      <c r="T175" t="s">
        <v>16</v>
      </c>
    </row>
    <row r="176" spans="1:20" x14ac:dyDescent="0.25">
      <c r="A176" t="s">
        <v>72</v>
      </c>
      <c r="D176" t="s">
        <v>229</v>
      </c>
      <c r="H176" t="s">
        <v>339</v>
      </c>
      <c r="L176" t="s">
        <v>457</v>
      </c>
      <c r="P176" t="s">
        <v>551</v>
      </c>
      <c r="T176" t="s">
        <v>687</v>
      </c>
    </row>
    <row r="177" spans="1:20" x14ac:dyDescent="0.25">
      <c r="A177" t="s">
        <v>18</v>
      </c>
      <c r="D177" t="s">
        <v>18</v>
      </c>
      <c r="H177" t="s">
        <v>18</v>
      </c>
      <c r="L177" t="s">
        <v>18</v>
      </c>
      <c r="P177" t="s">
        <v>18</v>
      </c>
      <c r="T177" t="s">
        <v>18</v>
      </c>
    </row>
    <row r="178" spans="1:20" x14ac:dyDescent="0.25">
      <c r="A178" t="s">
        <v>19</v>
      </c>
      <c r="D178" t="s">
        <v>19</v>
      </c>
      <c r="H178" t="s">
        <v>19</v>
      </c>
      <c r="L178" t="s">
        <v>19</v>
      </c>
      <c r="P178" t="s">
        <v>19</v>
      </c>
      <c r="T178" t="s">
        <v>19</v>
      </c>
    </row>
    <row r="179" spans="1:20" x14ac:dyDescent="0.25">
      <c r="A179" t="s">
        <v>20</v>
      </c>
      <c r="D179" t="s">
        <v>20</v>
      </c>
      <c r="H179" t="s">
        <v>20</v>
      </c>
      <c r="L179" t="s">
        <v>20</v>
      </c>
      <c r="P179" t="s">
        <v>20</v>
      </c>
      <c r="T179" t="s">
        <v>20</v>
      </c>
    </row>
    <row r="180" spans="1:20" x14ac:dyDescent="0.25">
      <c r="A180" t="s">
        <v>73</v>
      </c>
      <c r="D180" t="s">
        <v>230</v>
      </c>
      <c r="H180" t="s">
        <v>340</v>
      </c>
      <c r="L180" t="s">
        <v>458</v>
      </c>
      <c r="P180" t="s">
        <v>575</v>
      </c>
      <c r="T180" t="s">
        <v>688</v>
      </c>
    </row>
    <row r="181" spans="1:20" x14ac:dyDescent="0.25">
      <c r="A181" t="s">
        <v>22</v>
      </c>
      <c r="D181" t="s">
        <v>22</v>
      </c>
      <c r="H181" t="s">
        <v>22</v>
      </c>
      <c r="L181" t="s">
        <v>22</v>
      </c>
      <c r="P181" t="s">
        <v>22</v>
      </c>
      <c r="T181" t="s">
        <v>22</v>
      </c>
    </row>
    <row r="182" spans="1:20" x14ac:dyDescent="0.25">
      <c r="A182" t="s">
        <v>74</v>
      </c>
      <c r="D182" t="s">
        <v>231</v>
      </c>
      <c r="H182" t="s">
        <v>341</v>
      </c>
      <c r="L182" t="s">
        <v>459</v>
      </c>
      <c r="P182" t="s">
        <v>576</v>
      </c>
      <c r="T182" t="s">
        <v>689</v>
      </c>
    </row>
    <row r="183" spans="1:20" x14ac:dyDescent="0.25">
      <c r="A183" t="s">
        <v>24</v>
      </c>
      <c r="D183" t="s">
        <v>24</v>
      </c>
      <c r="H183" t="s">
        <v>24</v>
      </c>
      <c r="L183" t="s">
        <v>24</v>
      </c>
      <c r="P183" t="s">
        <v>24</v>
      </c>
      <c r="T183" t="s">
        <v>24</v>
      </c>
    </row>
    <row r="184" spans="1:20" x14ac:dyDescent="0.25">
      <c r="A184" t="s">
        <v>25</v>
      </c>
      <c r="D184" t="s">
        <v>25</v>
      </c>
      <c r="H184" t="s">
        <v>25</v>
      </c>
      <c r="L184" t="s">
        <v>25</v>
      </c>
      <c r="P184" t="s">
        <v>25</v>
      </c>
      <c r="T184" t="s">
        <v>25</v>
      </c>
    </row>
    <row r="185" spans="1:20" x14ac:dyDescent="0.25">
      <c r="A185" t="s">
        <v>26</v>
      </c>
      <c r="D185" t="s">
        <v>26</v>
      </c>
      <c r="H185" t="s">
        <v>26</v>
      </c>
      <c r="L185" t="s">
        <v>26</v>
      </c>
      <c r="P185" t="s">
        <v>26</v>
      </c>
      <c r="T185" t="s">
        <v>26</v>
      </c>
    </row>
    <row r="187" spans="1:20" x14ac:dyDescent="0.25">
      <c r="A187" t="s">
        <v>8</v>
      </c>
      <c r="D187" t="s">
        <v>8</v>
      </c>
      <c r="H187" t="s">
        <v>8</v>
      </c>
      <c r="L187" t="s">
        <v>8</v>
      </c>
      <c r="P187" t="s">
        <v>8</v>
      </c>
      <c r="T187" t="s">
        <v>8</v>
      </c>
    </row>
    <row r="188" spans="1:20" x14ac:dyDescent="0.25">
      <c r="A188" t="s">
        <v>9</v>
      </c>
      <c r="D188" t="s">
        <v>9</v>
      </c>
      <c r="H188" t="s">
        <v>9</v>
      </c>
      <c r="L188" t="s">
        <v>9</v>
      </c>
      <c r="P188" t="s">
        <v>9</v>
      </c>
      <c r="T188" t="s">
        <v>9</v>
      </c>
    </row>
    <row r="189" spans="1:20" x14ac:dyDescent="0.25">
      <c r="A189" t="s">
        <v>75</v>
      </c>
      <c r="D189" t="s">
        <v>232</v>
      </c>
      <c r="H189" t="s">
        <v>342</v>
      </c>
      <c r="L189" t="s">
        <v>460</v>
      </c>
      <c r="P189" t="s">
        <v>577</v>
      </c>
      <c r="T189" t="s">
        <v>690</v>
      </c>
    </row>
    <row r="190" spans="1:20" x14ac:dyDescent="0.25">
      <c r="A190" t="s">
        <v>28</v>
      </c>
      <c r="D190" t="s">
        <v>28</v>
      </c>
      <c r="H190" t="s">
        <v>28</v>
      </c>
      <c r="L190" t="s">
        <v>28</v>
      </c>
      <c r="P190" t="s">
        <v>28</v>
      </c>
      <c r="T190" t="s">
        <v>28</v>
      </c>
    </row>
    <row r="191" spans="1:20" x14ac:dyDescent="0.25">
      <c r="A191" t="s">
        <v>76</v>
      </c>
      <c r="D191" t="s">
        <v>233</v>
      </c>
      <c r="H191" t="s">
        <v>343</v>
      </c>
      <c r="L191" t="s">
        <v>461</v>
      </c>
      <c r="P191" t="s">
        <v>578</v>
      </c>
      <c r="T191" t="s">
        <v>691</v>
      </c>
    </row>
    <row r="192" spans="1:20" x14ac:dyDescent="0.25">
      <c r="A192" t="s">
        <v>30</v>
      </c>
      <c r="D192" t="s">
        <v>30</v>
      </c>
      <c r="H192" t="s">
        <v>30</v>
      </c>
      <c r="L192" t="s">
        <v>30</v>
      </c>
      <c r="P192" t="s">
        <v>30</v>
      </c>
      <c r="T192" t="s">
        <v>30</v>
      </c>
    </row>
    <row r="193" spans="1:20" x14ac:dyDescent="0.25">
      <c r="A193" t="s">
        <v>31</v>
      </c>
      <c r="D193" t="s">
        <v>31</v>
      </c>
      <c r="H193" t="s">
        <v>31</v>
      </c>
      <c r="L193" t="s">
        <v>31</v>
      </c>
      <c r="P193" t="s">
        <v>31</v>
      </c>
      <c r="T193" t="s">
        <v>31</v>
      </c>
    </row>
    <row r="194" spans="1:20" x14ac:dyDescent="0.25">
      <c r="A194" t="s">
        <v>32</v>
      </c>
      <c r="D194" t="s">
        <v>32</v>
      </c>
      <c r="H194" t="s">
        <v>32</v>
      </c>
      <c r="L194" t="s">
        <v>32</v>
      </c>
      <c r="P194" t="s">
        <v>32</v>
      </c>
      <c r="T194" t="s">
        <v>32</v>
      </c>
    </row>
    <row r="195" spans="1:20" x14ac:dyDescent="0.25">
      <c r="A195" t="s">
        <v>77</v>
      </c>
      <c r="D195" t="s">
        <v>234</v>
      </c>
      <c r="H195" t="s">
        <v>344</v>
      </c>
      <c r="L195" t="s">
        <v>462</v>
      </c>
      <c r="P195" t="s">
        <v>579</v>
      </c>
      <c r="T195" t="s">
        <v>692</v>
      </c>
    </row>
    <row r="196" spans="1:20" x14ac:dyDescent="0.25">
      <c r="A196" t="s">
        <v>34</v>
      </c>
      <c r="D196" t="s">
        <v>34</v>
      </c>
      <c r="H196" t="s">
        <v>34</v>
      </c>
      <c r="L196" t="s">
        <v>34</v>
      </c>
      <c r="P196" t="s">
        <v>34</v>
      </c>
      <c r="T196" t="s">
        <v>34</v>
      </c>
    </row>
    <row r="197" spans="1:20" x14ac:dyDescent="0.25">
      <c r="A197" t="s">
        <v>78</v>
      </c>
      <c r="D197" t="s">
        <v>235</v>
      </c>
      <c r="H197" t="s">
        <v>345</v>
      </c>
      <c r="L197" t="s">
        <v>463</v>
      </c>
      <c r="P197" t="s">
        <v>580</v>
      </c>
      <c r="T197" t="s">
        <v>693</v>
      </c>
    </row>
    <row r="198" spans="1:20" x14ac:dyDescent="0.25">
      <c r="A198" t="s">
        <v>36</v>
      </c>
      <c r="D198" t="s">
        <v>36</v>
      </c>
      <c r="H198" t="s">
        <v>36</v>
      </c>
      <c r="L198" t="s">
        <v>36</v>
      </c>
      <c r="P198" t="s">
        <v>36</v>
      </c>
      <c r="T198" t="s">
        <v>36</v>
      </c>
    </row>
    <row r="199" spans="1:20" x14ac:dyDescent="0.25">
      <c r="A199" t="s">
        <v>37</v>
      </c>
      <c r="D199" t="s">
        <v>37</v>
      </c>
      <c r="H199" t="s">
        <v>37</v>
      </c>
      <c r="L199" t="s">
        <v>37</v>
      </c>
      <c r="P199" t="s">
        <v>37</v>
      </c>
      <c r="T199" t="s">
        <v>37</v>
      </c>
    </row>
    <row r="200" spans="1:20" x14ac:dyDescent="0.25">
      <c r="A200" t="s">
        <v>38</v>
      </c>
      <c r="D200" t="s">
        <v>38</v>
      </c>
      <c r="H200" t="s">
        <v>38</v>
      </c>
      <c r="L200" t="s">
        <v>38</v>
      </c>
      <c r="P200" t="s">
        <v>38</v>
      </c>
      <c r="T200" t="s">
        <v>38</v>
      </c>
    </row>
    <row r="202" spans="1:20" x14ac:dyDescent="0.25">
      <c r="A202" t="s">
        <v>14</v>
      </c>
      <c r="D202" t="s">
        <v>14</v>
      </c>
      <c r="H202" t="s">
        <v>14</v>
      </c>
      <c r="L202" t="s">
        <v>14</v>
      </c>
      <c r="P202" t="s">
        <v>14</v>
      </c>
      <c r="T202" t="s">
        <v>14</v>
      </c>
    </row>
    <row r="203" spans="1:20" x14ac:dyDescent="0.25">
      <c r="A203" t="s">
        <v>15</v>
      </c>
      <c r="D203" t="s">
        <v>15</v>
      </c>
      <c r="H203" t="s">
        <v>15</v>
      </c>
      <c r="L203" t="s">
        <v>15</v>
      </c>
      <c r="P203" t="s">
        <v>15</v>
      </c>
      <c r="T203" t="s">
        <v>15</v>
      </c>
    </row>
    <row r="204" spans="1:20" x14ac:dyDescent="0.25">
      <c r="A204" t="s">
        <v>79</v>
      </c>
      <c r="D204" t="s">
        <v>236</v>
      </c>
      <c r="H204" t="s">
        <v>346</v>
      </c>
      <c r="L204" t="s">
        <v>464</v>
      </c>
      <c r="P204" t="s">
        <v>581</v>
      </c>
      <c r="T204" t="s">
        <v>694</v>
      </c>
    </row>
    <row r="205" spans="1:20" x14ac:dyDescent="0.25">
      <c r="A205" t="s">
        <v>16</v>
      </c>
      <c r="D205" t="s">
        <v>16</v>
      </c>
      <c r="H205" t="s">
        <v>16</v>
      </c>
      <c r="L205" t="s">
        <v>16</v>
      </c>
      <c r="P205" t="s">
        <v>16</v>
      </c>
      <c r="T205" t="s">
        <v>16</v>
      </c>
    </row>
    <row r="206" spans="1:20" x14ac:dyDescent="0.25">
      <c r="A206" t="s">
        <v>80</v>
      </c>
      <c r="D206" t="s">
        <v>237</v>
      </c>
      <c r="H206" t="s">
        <v>347</v>
      </c>
      <c r="L206" t="s">
        <v>433</v>
      </c>
      <c r="P206" t="s">
        <v>582</v>
      </c>
      <c r="T206" t="s">
        <v>695</v>
      </c>
    </row>
    <row r="207" spans="1:20" x14ac:dyDescent="0.25">
      <c r="A207" t="s">
        <v>18</v>
      </c>
      <c r="D207" t="s">
        <v>18</v>
      </c>
      <c r="H207" t="s">
        <v>18</v>
      </c>
      <c r="L207" t="s">
        <v>18</v>
      </c>
      <c r="P207" t="s">
        <v>18</v>
      </c>
      <c r="T207" t="s">
        <v>18</v>
      </c>
    </row>
    <row r="208" spans="1:20" x14ac:dyDescent="0.25">
      <c r="A208" t="s">
        <v>19</v>
      </c>
      <c r="D208" t="s">
        <v>19</v>
      </c>
      <c r="H208" t="s">
        <v>19</v>
      </c>
      <c r="L208" t="s">
        <v>19</v>
      </c>
      <c r="P208" t="s">
        <v>19</v>
      </c>
      <c r="T208" t="s">
        <v>19</v>
      </c>
    </row>
    <row r="209" spans="1:20" x14ac:dyDescent="0.25">
      <c r="A209" t="s">
        <v>20</v>
      </c>
      <c r="D209" t="s">
        <v>20</v>
      </c>
      <c r="H209" t="s">
        <v>20</v>
      </c>
      <c r="L209" t="s">
        <v>20</v>
      </c>
      <c r="P209" t="s">
        <v>20</v>
      </c>
      <c r="T209" t="s">
        <v>20</v>
      </c>
    </row>
    <row r="210" spans="1:20" x14ac:dyDescent="0.25">
      <c r="A210" t="s">
        <v>81</v>
      </c>
      <c r="D210" t="s">
        <v>238</v>
      </c>
      <c r="H210" t="s">
        <v>348</v>
      </c>
      <c r="L210" t="s">
        <v>465</v>
      </c>
      <c r="P210" t="s">
        <v>583</v>
      </c>
      <c r="T210" t="s">
        <v>696</v>
      </c>
    </row>
    <row r="211" spans="1:20" x14ac:dyDescent="0.25">
      <c r="A211" t="s">
        <v>22</v>
      </c>
      <c r="D211" t="s">
        <v>22</v>
      </c>
      <c r="H211" t="s">
        <v>22</v>
      </c>
      <c r="L211" t="s">
        <v>22</v>
      </c>
      <c r="P211" t="s">
        <v>22</v>
      </c>
      <c r="T211" t="s">
        <v>22</v>
      </c>
    </row>
    <row r="212" spans="1:20" x14ac:dyDescent="0.25">
      <c r="A212" t="s">
        <v>82</v>
      </c>
      <c r="D212" t="s">
        <v>239</v>
      </c>
      <c r="H212" t="s">
        <v>349</v>
      </c>
      <c r="L212" t="s">
        <v>466</v>
      </c>
      <c r="P212" t="s">
        <v>584</v>
      </c>
      <c r="T212" t="s">
        <v>697</v>
      </c>
    </row>
    <row r="213" spans="1:20" x14ac:dyDescent="0.25">
      <c r="A213" t="s">
        <v>24</v>
      </c>
      <c r="D213" t="s">
        <v>24</v>
      </c>
      <c r="H213" t="s">
        <v>24</v>
      </c>
      <c r="L213" t="s">
        <v>24</v>
      </c>
      <c r="P213" t="s">
        <v>24</v>
      </c>
      <c r="T213" t="s">
        <v>24</v>
      </c>
    </row>
    <row r="214" spans="1:20" x14ac:dyDescent="0.25">
      <c r="A214" t="s">
        <v>25</v>
      </c>
      <c r="D214" t="s">
        <v>25</v>
      </c>
      <c r="H214" t="s">
        <v>25</v>
      </c>
      <c r="L214" t="s">
        <v>25</v>
      </c>
      <c r="P214" t="s">
        <v>25</v>
      </c>
      <c r="T214" t="s">
        <v>25</v>
      </c>
    </row>
    <row r="215" spans="1:20" x14ac:dyDescent="0.25">
      <c r="A215" t="s">
        <v>26</v>
      </c>
      <c r="D215" t="s">
        <v>26</v>
      </c>
      <c r="H215" t="s">
        <v>26</v>
      </c>
      <c r="L215" t="s">
        <v>26</v>
      </c>
      <c r="P215" t="s">
        <v>26</v>
      </c>
      <c r="T215" t="s">
        <v>26</v>
      </c>
    </row>
    <row r="217" spans="1:20" x14ac:dyDescent="0.25">
      <c r="A217" t="s">
        <v>8</v>
      </c>
      <c r="D217" t="s">
        <v>8</v>
      </c>
      <c r="H217" t="s">
        <v>8</v>
      </c>
      <c r="L217" t="s">
        <v>8</v>
      </c>
      <c r="P217" t="s">
        <v>8</v>
      </c>
      <c r="T217" t="s">
        <v>8</v>
      </c>
    </row>
    <row r="218" spans="1:20" x14ac:dyDescent="0.25">
      <c r="A218" t="s">
        <v>9</v>
      </c>
      <c r="D218" t="s">
        <v>9</v>
      </c>
      <c r="H218" t="s">
        <v>9</v>
      </c>
      <c r="L218" t="s">
        <v>9</v>
      </c>
      <c r="P218" t="s">
        <v>9</v>
      </c>
      <c r="T218" t="s">
        <v>9</v>
      </c>
    </row>
    <row r="219" spans="1:20" x14ac:dyDescent="0.25">
      <c r="A219" t="s">
        <v>83</v>
      </c>
      <c r="D219" t="s">
        <v>240</v>
      </c>
      <c r="H219" t="s">
        <v>350</v>
      </c>
      <c r="L219" t="s">
        <v>467</v>
      </c>
      <c r="P219" t="s">
        <v>585</v>
      </c>
      <c r="T219" t="s">
        <v>698</v>
      </c>
    </row>
    <row r="220" spans="1:20" x14ac:dyDescent="0.25">
      <c r="A220" t="s">
        <v>28</v>
      </c>
      <c r="D220" t="s">
        <v>28</v>
      </c>
      <c r="H220" t="s">
        <v>28</v>
      </c>
      <c r="L220" t="s">
        <v>28</v>
      </c>
      <c r="P220" t="s">
        <v>28</v>
      </c>
      <c r="T220" t="s">
        <v>28</v>
      </c>
    </row>
    <row r="221" spans="1:20" x14ac:dyDescent="0.25">
      <c r="A221" t="s">
        <v>84</v>
      </c>
      <c r="D221" t="s">
        <v>241</v>
      </c>
      <c r="H221" t="s">
        <v>351</v>
      </c>
      <c r="L221" t="s">
        <v>468</v>
      </c>
      <c r="P221" t="s">
        <v>586</v>
      </c>
      <c r="T221" t="s">
        <v>699</v>
      </c>
    </row>
    <row r="222" spans="1:20" x14ac:dyDescent="0.25">
      <c r="A222" t="s">
        <v>30</v>
      </c>
      <c r="D222" t="s">
        <v>30</v>
      </c>
      <c r="H222" t="s">
        <v>30</v>
      </c>
      <c r="L222" t="s">
        <v>30</v>
      </c>
      <c r="P222" t="s">
        <v>30</v>
      </c>
      <c r="T222" t="s">
        <v>30</v>
      </c>
    </row>
    <row r="223" spans="1:20" x14ac:dyDescent="0.25">
      <c r="A223" t="s">
        <v>31</v>
      </c>
      <c r="D223" t="s">
        <v>31</v>
      </c>
      <c r="H223" t="s">
        <v>31</v>
      </c>
      <c r="L223" t="s">
        <v>31</v>
      </c>
      <c r="P223" t="s">
        <v>31</v>
      </c>
      <c r="T223" t="s">
        <v>31</v>
      </c>
    </row>
    <row r="224" spans="1:20" x14ac:dyDescent="0.25">
      <c r="A224" t="s">
        <v>32</v>
      </c>
      <c r="D224" t="s">
        <v>32</v>
      </c>
      <c r="H224" t="s">
        <v>32</v>
      </c>
      <c r="L224" t="s">
        <v>32</v>
      </c>
      <c r="P224" t="s">
        <v>32</v>
      </c>
      <c r="T224" t="s">
        <v>32</v>
      </c>
    </row>
    <row r="225" spans="1:20" x14ac:dyDescent="0.25">
      <c r="A225" t="s">
        <v>85</v>
      </c>
      <c r="D225" t="s">
        <v>242</v>
      </c>
      <c r="H225" t="s">
        <v>352</v>
      </c>
      <c r="L225" t="s">
        <v>469</v>
      </c>
      <c r="P225" t="s">
        <v>587</v>
      </c>
      <c r="T225" t="s">
        <v>242</v>
      </c>
    </row>
    <row r="226" spans="1:20" x14ac:dyDescent="0.25">
      <c r="A226" t="s">
        <v>34</v>
      </c>
      <c r="D226" t="s">
        <v>34</v>
      </c>
      <c r="H226" t="s">
        <v>34</v>
      </c>
      <c r="L226" t="s">
        <v>34</v>
      </c>
      <c r="P226" t="s">
        <v>34</v>
      </c>
      <c r="T226" t="s">
        <v>34</v>
      </c>
    </row>
    <row r="227" spans="1:20" x14ac:dyDescent="0.25">
      <c r="A227" t="s">
        <v>86</v>
      </c>
      <c r="D227" t="s">
        <v>243</v>
      </c>
      <c r="H227" t="s">
        <v>353</v>
      </c>
      <c r="L227" t="s">
        <v>470</v>
      </c>
      <c r="P227" t="s">
        <v>588</v>
      </c>
      <c r="T227" t="s">
        <v>243</v>
      </c>
    </row>
    <row r="228" spans="1:20" x14ac:dyDescent="0.25">
      <c r="A228" t="s">
        <v>36</v>
      </c>
      <c r="D228" t="s">
        <v>36</v>
      </c>
      <c r="H228" t="s">
        <v>36</v>
      </c>
      <c r="L228" t="s">
        <v>36</v>
      </c>
      <c r="P228" t="s">
        <v>36</v>
      </c>
      <c r="T228" t="s">
        <v>36</v>
      </c>
    </row>
    <row r="229" spans="1:20" x14ac:dyDescent="0.25">
      <c r="A229" t="s">
        <v>37</v>
      </c>
      <c r="D229" t="s">
        <v>37</v>
      </c>
      <c r="H229" t="s">
        <v>37</v>
      </c>
      <c r="L229" t="s">
        <v>37</v>
      </c>
      <c r="P229" t="s">
        <v>37</v>
      </c>
      <c r="T229" t="s">
        <v>37</v>
      </c>
    </row>
    <row r="230" spans="1:20" x14ac:dyDescent="0.25">
      <c r="A230" t="s">
        <v>38</v>
      </c>
      <c r="D230" t="s">
        <v>38</v>
      </c>
      <c r="H230" t="s">
        <v>38</v>
      </c>
      <c r="L230" t="s">
        <v>38</v>
      </c>
      <c r="P230" t="s">
        <v>38</v>
      </c>
      <c r="T230" t="s">
        <v>38</v>
      </c>
    </row>
    <row r="232" spans="1:20" x14ac:dyDescent="0.25">
      <c r="A232" t="s">
        <v>14</v>
      </c>
      <c r="D232" t="s">
        <v>14</v>
      </c>
      <c r="H232" t="s">
        <v>14</v>
      </c>
      <c r="L232" t="s">
        <v>14</v>
      </c>
      <c r="P232" t="s">
        <v>14</v>
      </c>
      <c r="T232" t="s">
        <v>14</v>
      </c>
    </row>
    <row r="233" spans="1:20" x14ac:dyDescent="0.25">
      <c r="A233" t="s">
        <v>15</v>
      </c>
      <c r="D233" t="s">
        <v>15</v>
      </c>
      <c r="H233" t="s">
        <v>15</v>
      </c>
      <c r="L233" t="s">
        <v>15</v>
      </c>
      <c r="P233" t="s">
        <v>15</v>
      </c>
      <c r="T233" t="s">
        <v>15</v>
      </c>
    </row>
    <row r="234" spans="1:20" x14ac:dyDescent="0.25">
      <c r="A234" t="s">
        <v>87</v>
      </c>
      <c r="D234" t="s">
        <v>244</v>
      </c>
      <c r="H234" t="s">
        <v>354</v>
      </c>
      <c r="L234" t="s">
        <v>471</v>
      </c>
      <c r="P234" t="s">
        <v>589</v>
      </c>
      <c r="T234" t="s">
        <v>700</v>
      </c>
    </row>
    <row r="235" spans="1:20" x14ac:dyDescent="0.25">
      <c r="A235" t="s">
        <v>16</v>
      </c>
      <c r="D235" t="s">
        <v>16</v>
      </c>
      <c r="H235" t="s">
        <v>16</v>
      </c>
      <c r="L235" t="s">
        <v>16</v>
      </c>
      <c r="P235" t="s">
        <v>16</v>
      </c>
      <c r="T235" t="s">
        <v>16</v>
      </c>
    </row>
    <row r="236" spans="1:20" x14ac:dyDescent="0.25">
      <c r="A236" t="s">
        <v>88</v>
      </c>
      <c r="D236" t="s">
        <v>229</v>
      </c>
      <c r="H236" t="s">
        <v>355</v>
      </c>
      <c r="L236" t="s">
        <v>472</v>
      </c>
      <c r="P236" t="s">
        <v>590</v>
      </c>
      <c r="T236" t="s">
        <v>701</v>
      </c>
    </row>
    <row r="237" spans="1:20" x14ac:dyDescent="0.25">
      <c r="A237" t="s">
        <v>18</v>
      </c>
      <c r="D237" t="s">
        <v>18</v>
      </c>
      <c r="H237" t="s">
        <v>18</v>
      </c>
      <c r="L237" t="s">
        <v>18</v>
      </c>
      <c r="P237" t="s">
        <v>18</v>
      </c>
      <c r="T237" t="s">
        <v>18</v>
      </c>
    </row>
    <row r="238" spans="1:20" x14ac:dyDescent="0.25">
      <c r="A238" t="s">
        <v>19</v>
      </c>
      <c r="D238" t="s">
        <v>19</v>
      </c>
      <c r="H238" t="s">
        <v>19</v>
      </c>
      <c r="L238" t="s">
        <v>19</v>
      </c>
      <c r="P238" t="s">
        <v>19</v>
      </c>
      <c r="T238" t="s">
        <v>19</v>
      </c>
    </row>
    <row r="239" spans="1:20" x14ac:dyDescent="0.25">
      <c r="A239" t="s">
        <v>20</v>
      </c>
      <c r="D239" t="s">
        <v>20</v>
      </c>
      <c r="H239" t="s">
        <v>20</v>
      </c>
      <c r="L239" t="s">
        <v>20</v>
      </c>
      <c r="P239" t="s">
        <v>20</v>
      </c>
      <c r="T239" t="s">
        <v>20</v>
      </c>
    </row>
    <row r="240" spans="1:20" x14ac:dyDescent="0.25">
      <c r="A240" t="s">
        <v>89</v>
      </c>
      <c r="D240" t="s">
        <v>245</v>
      </c>
      <c r="H240" t="s">
        <v>356</v>
      </c>
      <c r="L240" t="s">
        <v>473</v>
      </c>
      <c r="P240" t="s">
        <v>591</v>
      </c>
      <c r="T240" t="s">
        <v>702</v>
      </c>
    </row>
    <row r="241" spans="1:20" x14ac:dyDescent="0.25">
      <c r="A241" t="s">
        <v>22</v>
      </c>
      <c r="D241" t="s">
        <v>22</v>
      </c>
      <c r="H241" t="s">
        <v>22</v>
      </c>
      <c r="L241" t="s">
        <v>22</v>
      </c>
      <c r="P241" t="s">
        <v>22</v>
      </c>
      <c r="T241" t="s">
        <v>22</v>
      </c>
    </row>
    <row r="242" spans="1:20" x14ac:dyDescent="0.25">
      <c r="A242" t="s">
        <v>90</v>
      </c>
      <c r="D242" t="s">
        <v>246</v>
      </c>
      <c r="H242" t="s">
        <v>357</v>
      </c>
      <c r="L242" t="s">
        <v>474</v>
      </c>
      <c r="P242" t="s">
        <v>592</v>
      </c>
      <c r="T242" t="s">
        <v>703</v>
      </c>
    </row>
    <row r="243" spans="1:20" x14ac:dyDescent="0.25">
      <c r="A243" t="s">
        <v>24</v>
      </c>
      <c r="D243" t="s">
        <v>24</v>
      </c>
      <c r="H243" t="s">
        <v>24</v>
      </c>
      <c r="L243" t="s">
        <v>24</v>
      </c>
      <c r="P243" t="s">
        <v>24</v>
      </c>
      <c r="T243" t="s">
        <v>24</v>
      </c>
    </row>
    <row r="244" spans="1:20" x14ac:dyDescent="0.25">
      <c r="A244" t="s">
        <v>25</v>
      </c>
      <c r="D244" t="s">
        <v>25</v>
      </c>
      <c r="H244" t="s">
        <v>25</v>
      </c>
      <c r="L244" t="s">
        <v>25</v>
      </c>
      <c r="P244" t="s">
        <v>25</v>
      </c>
      <c r="T244" t="s">
        <v>25</v>
      </c>
    </row>
    <row r="245" spans="1:20" x14ac:dyDescent="0.25">
      <c r="A245" t="s">
        <v>26</v>
      </c>
      <c r="D245" t="s">
        <v>26</v>
      </c>
      <c r="H245" t="s">
        <v>26</v>
      </c>
      <c r="L245" t="s">
        <v>26</v>
      </c>
      <c r="P245" t="s">
        <v>26</v>
      </c>
      <c r="T245" t="s">
        <v>26</v>
      </c>
    </row>
    <row r="247" spans="1:20" x14ac:dyDescent="0.25">
      <c r="A247" t="s">
        <v>8</v>
      </c>
      <c r="D247" t="s">
        <v>8</v>
      </c>
      <c r="H247" t="s">
        <v>8</v>
      </c>
      <c r="L247" t="s">
        <v>8</v>
      </c>
      <c r="P247" t="s">
        <v>8</v>
      </c>
      <c r="T247" t="s">
        <v>8</v>
      </c>
    </row>
    <row r="248" spans="1:20" x14ac:dyDescent="0.25">
      <c r="A248" t="s">
        <v>9</v>
      </c>
      <c r="D248" t="s">
        <v>9</v>
      </c>
      <c r="H248" t="s">
        <v>9</v>
      </c>
      <c r="L248" t="s">
        <v>9</v>
      </c>
      <c r="P248" t="s">
        <v>9</v>
      </c>
      <c r="T248" t="s">
        <v>9</v>
      </c>
    </row>
    <row r="249" spans="1:20" x14ac:dyDescent="0.25">
      <c r="A249" t="s">
        <v>91</v>
      </c>
      <c r="D249" t="s">
        <v>247</v>
      </c>
      <c r="H249" t="s">
        <v>358</v>
      </c>
      <c r="L249" t="s">
        <v>475</v>
      </c>
      <c r="P249" t="s">
        <v>593</v>
      </c>
      <c r="T249" t="s">
        <v>704</v>
      </c>
    </row>
    <row r="250" spans="1:20" x14ac:dyDescent="0.25">
      <c r="A250" t="s">
        <v>28</v>
      </c>
      <c r="D250" t="s">
        <v>28</v>
      </c>
      <c r="H250" t="s">
        <v>28</v>
      </c>
      <c r="L250" t="s">
        <v>28</v>
      </c>
      <c r="P250" t="s">
        <v>28</v>
      </c>
      <c r="T250" t="s">
        <v>28</v>
      </c>
    </row>
    <row r="251" spans="1:20" x14ac:dyDescent="0.25">
      <c r="A251" t="s">
        <v>92</v>
      </c>
      <c r="D251" t="s">
        <v>233</v>
      </c>
      <c r="H251" t="s">
        <v>359</v>
      </c>
      <c r="L251" t="s">
        <v>476</v>
      </c>
      <c r="P251" t="s">
        <v>594</v>
      </c>
      <c r="T251" t="s">
        <v>705</v>
      </c>
    </row>
    <row r="252" spans="1:20" x14ac:dyDescent="0.25">
      <c r="A252" t="s">
        <v>30</v>
      </c>
      <c r="D252" t="s">
        <v>30</v>
      </c>
      <c r="H252" t="s">
        <v>30</v>
      </c>
      <c r="L252" t="s">
        <v>30</v>
      </c>
      <c r="P252" t="s">
        <v>30</v>
      </c>
      <c r="T252" t="s">
        <v>30</v>
      </c>
    </row>
    <row r="253" spans="1:20" x14ac:dyDescent="0.25">
      <c r="A253" t="s">
        <v>31</v>
      </c>
      <c r="D253" t="s">
        <v>31</v>
      </c>
      <c r="H253" t="s">
        <v>31</v>
      </c>
      <c r="L253" t="s">
        <v>31</v>
      </c>
      <c r="P253" t="s">
        <v>31</v>
      </c>
      <c r="T253" t="s">
        <v>31</v>
      </c>
    </row>
    <row r="254" spans="1:20" x14ac:dyDescent="0.25">
      <c r="A254" t="s">
        <v>32</v>
      </c>
      <c r="D254" t="s">
        <v>32</v>
      </c>
      <c r="H254" t="s">
        <v>32</v>
      </c>
      <c r="L254" t="s">
        <v>32</v>
      </c>
      <c r="P254" t="s">
        <v>32</v>
      </c>
      <c r="T254" t="s">
        <v>32</v>
      </c>
    </row>
    <row r="255" spans="1:20" x14ac:dyDescent="0.25">
      <c r="A255" t="s">
        <v>93</v>
      </c>
      <c r="D255" t="s">
        <v>226</v>
      </c>
      <c r="H255" t="s">
        <v>360</v>
      </c>
      <c r="L255" t="s">
        <v>477</v>
      </c>
      <c r="P255" t="s">
        <v>595</v>
      </c>
      <c r="T255" t="s">
        <v>706</v>
      </c>
    </row>
    <row r="256" spans="1:20" x14ac:dyDescent="0.25">
      <c r="A256" t="s">
        <v>34</v>
      </c>
      <c r="D256" t="s">
        <v>34</v>
      </c>
      <c r="H256" t="s">
        <v>34</v>
      </c>
      <c r="L256" t="s">
        <v>34</v>
      </c>
      <c r="P256" t="s">
        <v>34</v>
      </c>
      <c r="T256" t="s">
        <v>34</v>
      </c>
    </row>
    <row r="257" spans="1:20" x14ac:dyDescent="0.25">
      <c r="A257" t="s">
        <v>94</v>
      </c>
      <c r="D257" t="s">
        <v>227</v>
      </c>
      <c r="H257" t="s">
        <v>361</v>
      </c>
      <c r="L257" t="s">
        <v>478</v>
      </c>
      <c r="P257" t="s">
        <v>596</v>
      </c>
      <c r="T257" t="s">
        <v>707</v>
      </c>
    </row>
    <row r="258" spans="1:20" x14ac:dyDescent="0.25">
      <c r="A258" t="s">
        <v>36</v>
      </c>
      <c r="D258" t="s">
        <v>36</v>
      </c>
      <c r="H258" t="s">
        <v>36</v>
      </c>
      <c r="L258" t="s">
        <v>36</v>
      </c>
      <c r="P258" t="s">
        <v>36</v>
      </c>
      <c r="T258" t="s">
        <v>36</v>
      </c>
    </row>
    <row r="259" spans="1:20" x14ac:dyDescent="0.25">
      <c r="A259" t="s">
        <v>37</v>
      </c>
      <c r="D259" t="s">
        <v>37</v>
      </c>
      <c r="H259" t="s">
        <v>37</v>
      </c>
      <c r="L259" t="s">
        <v>37</v>
      </c>
      <c r="P259" t="s">
        <v>37</v>
      </c>
      <c r="T259" t="s">
        <v>37</v>
      </c>
    </row>
    <row r="260" spans="1:20" x14ac:dyDescent="0.25">
      <c r="A260" t="s">
        <v>38</v>
      </c>
      <c r="D260" t="s">
        <v>38</v>
      </c>
      <c r="H260" t="s">
        <v>38</v>
      </c>
      <c r="L260" t="s">
        <v>38</v>
      </c>
      <c r="P260" t="s">
        <v>38</v>
      </c>
      <c r="T260" t="s">
        <v>38</v>
      </c>
    </row>
    <row r="262" spans="1:20" x14ac:dyDescent="0.25">
      <c r="A262" t="s">
        <v>14</v>
      </c>
      <c r="D262" t="s">
        <v>14</v>
      </c>
      <c r="H262" t="s">
        <v>14</v>
      </c>
      <c r="L262" t="s">
        <v>14</v>
      </c>
      <c r="P262" t="s">
        <v>14</v>
      </c>
      <c r="T262" t="s">
        <v>14</v>
      </c>
    </row>
    <row r="263" spans="1:20" x14ac:dyDescent="0.25">
      <c r="A263" t="s">
        <v>15</v>
      </c>
      <c r="D263" t="s">
        <v>15</v>
      </c>
      <c r="H263" t="s">
        <v>15</v>
      </c>
      <c r="L263" t="s">
        <v>15</v>
      </c>
      <c r="P263" t="s">
        <v>15</v>
      </c>
      <c r="T263" t="s">
        <v>15</v>
      </c>
    </row>
    <row r="264" spans="1:20" x14ac:dyDescent="0.25">
      <c r="A264" t="s">
        <v>95</v>
      </c>
      <c r="D264" t="s">
        <v>248</v>
      </c>
      <c r="H264" t="s">
        <v>362</v>
      </c>
      <c r="L264" t="s">
        <v>479</v>
      </c>
      <c r="P264" t="s">
        <v>597</v>
      </c>
      <c r="T264" t="s">
        <v>708</v>
      </c>
    </row>
    <row r="265" spans="1:20" x14ac:dyDescent="0.25">
      <c r="A265" t="s">
        <v>16</v>
      </c>
      <c r="D265" t="s">
        <v>16</v>
      </c>
      <c r="H265" t="s">
        <v>16</v>
      </c>
      <c r="L265" t="s">
        <v>16</v>
      </c>
      <c r="P265" t="s">
        <v>16</v>
      </c>
      <c r="T265" t="s">
        <v>16</v>
      </c>
    </row>
    <row r="266" spans="1:20" x14ac:dyDescent="0.25">
      <c r="A266" t="s">
        <v>96</v>
      </c>
      <c r="D266" t="s">
        <v>249</v>
      </c>
      <c r="H266" t="s">
        <v>363</v>
      </c>
      <c r="L266" t="s">
        <v>480</v>
      </c>
      <c r="P266" t="s">
        <v>598</v>
      </c>
      <c r="T266" t="s">
        <v>709</v>
      </c>
    </row>
    <row r="267" spans="1:20" x14ac:dyDescent="0.25">
      <c r="A267" t="s">
        <v>18</v>
      </c>
      <c r="D267" t="s">
        <v>18</v>
      </c>
      <c r="H267" t="s">
        <v>18</v>
      </c>
      <c r="L267" t="s">
        <v>18</v>
      </c>
      <c r="P267" t="s">
        <v>18</v>
      </c>
      <c r="T267" t="s">
        <v>18</v>
      </c>
    </row>
    <row r="268" spans="1:20" x14ac:dyDescent="0.25">
      <c r="A268" t="s">
        <v>19</v>
      </c>
      <c r="D268" t="s">
        <v>19</v>
      </c>
      <c r="H268" t="s">
        <v>19</v>
      </c>
      <c r="L268" t="s">
        <v>19</v>
      </c>
      <c r="P268" t="s">
        <v>19</v>
      </c>
      <c r="T268" t="s">
        <v>19</v>
      </c>
    </row>
    <row r="269" spans="1:20" x14ac:dyDescent="0.25">
      <c r="A269" t="s">
        <v>20</v>
      </c>
      <c r="D269" t="s">
        <v>20</v>
      </c>
      <c r="H269" t="s">
        <v>20</v>
      </c>
      <c r="L269" t="s">
        <v>20</v>
      </c>
      <c r="P269" t="s">
        <v>20</v>
      </c>
      <c r="T269" t="s">
        <v>20</v>
      </c>
    </row>
    <row r="270" spans="1:20" x14ac:dyDescent="0.25">
      <c r="A270" t="s">
        <v>97</v>
      </c>
      <c r="D270" t="s">
        <v>250</v>
      </c>
      <c r="H270" t="s">
        <v>364</v>
      </c>
      <c r="L270" t="s">
        <v>481</v>
      </c>
      <c r="P270" t="s">
        <v>599</v>
      </c>
      <c r="T270" t="s">
        <v>710</v>
      </c>
    </row>
    <row r="271" spans="1:20" x14ac:dyDescent="0.25">
      <c r="A271" t="s">
        <v>22</v>
      </c>
      <c r="D271" t="s">
        <v>22</v>
      </c>
      <c r="H271" t="s">
        <v>22</v>
      </c>
      <c r="L271" t="s">
        <v>22</v>
      </c>
      <c r="P271" t="s">
        <v>22</v>
      </c>
      <c r="T271" t="s">
        <v>22</v>
      </c>
    </row>
    <row r="272" spans="1:20" x14ac:dyDescent="0.25">
      <c r="A272" t="s">
        <v>98</v>
      </c>
      <c r="D272" t="s">
        <v>251</v>
      </c>
      <c r="H272" t="s">
        <v>365</v>
      </c>
      <c r="L272" t="s">
        <v>482</v>
      </c>
      <c r="P272" t="s">
        <v>600</v>
      </c>
      <c r="T272" t="s">
        <v>711</v>
      </c>
    </row>
    <row r="273" spans="1:20" x14ac:dyDescent="0.25">
      <c r="A273" t="s">
        <v>24</v>
      </c>
      <c r="D273" t="s">
        <v>24</v>
      </c>
      <c r="H273" t="s">
        <v>24</v>
      </c>
      <c r="L273" t="s">
        <v>24</v>
      </c>
      <c r="P273" t="s">
        <v>24</v>
      </c>
      <c r="T273" t="s">
        <v>24</v>
      </c>
    </row>
    <row r="274" spans="1:20" x14ac:dyDescent="0.25">
      <c r="A274" t="s">
        <v>25</v>
      </c>
      <c r="D274" t="s">
        <v>25</v>
      </c>
      <c r="H274" t="s">
        <v>25</v>
      </c>
      <c r="L274" t="s">
        <v>25</v>
      </c>
      <c r="P274" t="s">
        <v>25</v>
      </c>
      <c r="T274" t="s">
        <v>25</v>
      </c>
    </row>
    <row r="275" spans="1:20" x14ac:dyDescent="0.25">
      <c r="A275" t="s">
        <v>26</v>
      </c>
      <c r="D275" t="s">
        <v>26</v>
      </c>
      <c r="H275" t="s">
        <v>26</v>
      </c>
      <c r="L275" t="s">
        <v>26</v>
      </c>
      <c r="P275" t="s">
        <v>26</v>
      </c>
      <c r="T275" t="s">
        <v>26</v>
      </c>
    </row>
    <row r="277" spans="1:20" x14ac:dyDescent="0.25">
      <c r="A277" t="s">
        <v>8</v>
      </c>
      <c r="D277" t="s">
        <v>8</v>
      </c>
      <c r="H277" t="s">
        <v>8</v>
      </c>
      <c r="L277" t="s">
        <v>8</v>
      </c>
      <c r="P277" t="s">
        <v>8</v>
      </c>
      <c r="T277" t="s">
        <v>8</v>
      </c>
    </row>
    <row r="278" spans="1:20" x14ac:dyDescent="0.25">
      <c r="A278" t="s">
        <v>9</v>
      </c>
      <c r="D278" t="s">
        <v>9</v>
      </c>
      <c r="H278" t="s">
        <v>9</v>
      </c>
      <c r="L278" t="s">
        <v>9</v>
      </c>
      <c r="P278" t="s">
        <v>9</v>
      </c>
      <c r="T278" t="s">
        <v>9</v>
      </c>
    </row>
    <row r="279" spans="1:20" x14ac:dyDescent="0.25">
      <c r="A279" t="s">
        <v>99</v>
      </c>
      <c r="D279" t="s">
        <v>252</v>
      </c>
      <c r="H279" t="s">
        <v>366</v>
      </c>
      <c r="L279" t="s">
        <v>483</v>
      </c>
      <c r="P279" t="s">
        <v>601</v>
      </c>
      <c r="T279" t="s">
        <v>712</v>
      </c>
    </row>
    <row r="280" spans="1:20" x14ac:dyDescent="0.25">
      <c r="A280" t="s">
        <v>28</v>
      </c>
      <c r="D280" t="s">
        <v>28</v>
      </c>
      <c r="H280" t="s">
        <v>28</v>
      </c>
      <c r="L280" t="s">
        <v>28</v>
      </c>
      <c r="P280" t="s">
        <v>28</v>
      </c>
      <c r="T280" t="s">
        <v>28</v>
      </c>
    </row>
    <row r="281" spans="1:20" x14ac:dyDescent="0.25">
      <c r="A281" t="s">
        <v>100</v>
      </c>
      <c r="D281" t="s">
        <v>253</v>
      </c>
      <c r="H281" t="s">
        <v>359</v>
      </c>
      <c r="L281" t="s">
        <v>484</v>
      </c>
      <c r="P281" t="s">
        <v>602</v>
      </c>
      <c r="T281" t="s">
        <v>713</v>
      </c>
    </row>
    <row r="282" spans="1:20" x14ac:dyDescent="0.25">
      <c r="A282" t="s">
        <v>30</v>
      </c>
      <c r="D282" t="s">
        <v>30</v>
      </c>
      <c r="H282" t="s">
        <v>30</v>
      </c>
      <c r="L282" t="s">
        <v>30</v>
      </c>
      <c r="P282" t="s">
        <v>30</v>
      </c>
      <c r="T282" t="s">
        <v>30</v>
      </c>
    </row>
    <row r="283" spans="1:20" x14ac:dyDescent="0.25">
      <c r="A283" t="s">
        <v>31</v>
      </c>
      <c r="D283" t="s">
        <v>31</v>
      </c>
      <c r="H283" t="s">
        <v>31</v>
      </c>
      <c r="L283" t="s">
        <v>31</v>
      </c>
      <c r="P283" t="s">
        <v>31</v>
      </c>
      <c r="T283" t="s">
        <v>31</v>
      </c>
    </row>
    <row r="284" spans="1:20" x14ac:dyDescent="0.25">
      <c r="A284" t="s">
        <v>32</v>
      </c>
      <c r="D284" t="s">
        <v>32</v>
      </c>
      <c r="H284" t="s">
        <v>32</v>
      </c>
      <c r="L284" t="s">
        <v>32</v>
      </c>
      <c r="P284" t="s">
        <v>32</v>
      </c>
      <c r="T284" t="s">
        <v>32</v>
      </c>
    </row>
    <row r="285" spans="1:20" x14ac:dyDescent="0.25">
      <c r="A285" t="s">
        <v>101</v>
      </c>
      <c r="D285" t="s">
        <v>254</v>
      </c>
      <c r="H285" t="s">
        <v>367</v>
      </c>
      <c r="L285" t="s">
        <v>485</v>
      </c>
      <c r="P285" t="s">
        <v>603</v>
      </c>
      <c r="T285" t="s">
        <v>714</v>
      </c>
    </row>
    <row r="286" spans="1:20" x14ac:dyDescent="0.25">
      <c r="A286" t="s">
        <v>34</v>
      </c>
      <c r="D286" t="s">
        <v>34</v>
      </c>
      <c r="H286" t="s">
        <v>34</v>
      </c>
      <c r="L286" t="s">
        <v>34</v>
      </c>
      <c r="P286" t="s">
        <v>34</v>
      </c>
      <c r="T286" t="s">
        <v>34</v>
      </c>
    </row>
    <row r="287" spans="1:20" x14ac:dyDescent="0.25">
      <c r="A287" t="s">
        <v>102</v>
      </c>
      <c r="D287" t="s">
        <v>255</v>
      </c>
      <c r="H287" t="s">
        <v>368</v>
      </c>
      <c r="L287" t="s">
        <v>486</v>
      </c>
      <c r="P287" t="s">
        <v>604</v>
      </c>
      <c r="T287" t="s">
        <v>715</v>
      </c>
    </row>
    <row r="288" spans="1:20" x14ac:dyDescent="0.25">
      <c r="A288" t="s">
        <v>36</v>
      </c>
      <c r="D288" t="s">
        <v>36</v>
      </c>
      <c r="H288" t="s">
        <v>36</v>
      </c>
      <c r="L288" t="s">
        <v>36</v>
      </c>
      <c r="P288" t="s">
        <v>36</v>
      </c>
      <c r="T288" t="s">
        <v>36</v>
      </c>
    </row>
    <row r="289" spans="1:20" x14ac:dyDescent="0.25">
      <c r="A289" t="s">
        <v>37</v>
      </c>
      <c r="D289" t="s">
        <v>37</v>
      </c>
      <c r="H289" t="s">
        <v>37</v>
      </c>
      <c r="L289" t="s">
        <v>37</v>
      </c>
      <c r="P289" t="s">
        <v>37</v>
      </c>
      <c r="T289" t="s">
        <v>37</v>
      </c>
    </row>
    <row r="290" spans="1:20" x14ac:dyDescent="0.25">
      <c r="A290" t="s">
        <v>38</v>
      </c>
      <c r="D290" t="s">
        <v>38</v>
      </c>
      <c r="H290" t="s">
        <v>38</v>
      </c>
      <c r="L290" t="s">
        <v>38</v>
      </c>
      <c r="P290" t="s">
        <v>38</v>
      </c>
      <c r="T290" t="s">
        <v>38</v>
      </c>
    </row>
    <row r="292" spans="1:20" x14ac:dyDescent="0.25">
      <c r="A292" t="s">
        <v>14</v>
      </c>
      <c r="D292" t="s">
        <v>14</v>
      </c>
      <c r="H292" t="s">
        <v>14</v>
      </c>
      <c r="L292" t="s">
        <v>14</v>
      </c>
      <c r="P292" t="s">
        <v>14</v>
      </c>
      <c r="T292" t="s">
        <v>14</v>
      </c>
    </row>
    <row r="293" spans="1:20" x14ac:dyDescent="0.25">
      <c r="A293" t="s">
        <v>15</v>
      </c>
      <c r="D293" t="s">
        <v>15</v>
      </c>
      <c r="H293" t="s">
        <v>15</v>
      </c>
      <c r="L293" t="s">
        <v>15</v>
      </c>
      <c r="P293" t="s">
        <v>15</v>
      </c>
      <c r="T293" t="s">
        <v>15</v>
      </c>
    </row>
    <row r="294" spans="1:20" x14ac:dyDescent="0.25">
      <c r="A294" t="s">
        <v>103</v>
      </c>
      <c r="D294" t="s">
        <v>256</v>
      </c>
      <c r="H294" t="s">
        <v>369</v>
      </c>
      <c r="L294" t="s">
        <v>487</v>
      </c>
      <c r="P294" t="s">
        <v>605</v>
      </c>
      <c r="T294" t="s">
        <v>716</v>
      </c>
    </row>
    <row r="295" spans="1:20" x14ac:dyDescent="0.25">
      <c r="A295" t="s">
        <v>16</v>
      </c>
      <c r="D295" t="s">
        <v>16</v>
      </c>
      <c r="H295" t="s">
        <v>16</v>
      </c>
      <c r="L295" t="s">
        <v>16</v>
      </c>
      <c r="P295" t="s">
        <v>16</v>
      </c>
      <c r="T295" t="s">
        <v>16</v>
      </c>
    </row>
    <row r="296" spans="1:20" x14ac:dyDescent="0.25">
      <c r="A296" t="s">
        <v>48</v>
      </c>
      <c r="D296" t="s">
        <v>257</v>
      </c>
      <c r="H296" t="s">
        <v>370</v>
      </c>
      <c r="L296" t="s">
        <v>457</v>
      </c>
      <c r="P296" t="s">
        <v>606</v>
      </c>
      <c r="T296" t="s">
        <v>717</v>
      </c>
    </row>
    <row r="297" spans="1:20" x14ac:dyDescent="0.25">
      <c r="A297" t="s">
        <v>18</v>
      </c>
      <c r="D297" t="s">
        <v>18</v>
      </c>
      <c r="H297" t="s">
        <v>18</v>
      </c>
      <c r="L297" t="s">
        <v>18</v>
      </c>
      <c r="P297" t="s">
        <v>18</v>
      </c>
      <c r="T297" t="s">
        <v>18</v>
      </c>
    </row>
    <row r="298" spans="1:20" x14ac:dyDescent="0.25">
      <c r="A298" t="s">
        <v>19</v>
      </c>
      <c r="D298" t="s">
        <v>19</v>
      </c>
      <c r="H298" t="s">
        <v>19</v>
      </c>
      <c r="L298" t="s">
        <v>19</v>
      </c>
      <c r="P298" t="s">
        <v>19</v>
      </c>
      <c r="T298" t="s">
        <v>19</v>
      </c>
    </row>
    <row r="299" spans="1:20" x14ac:dyDescent="0.25">
      <c r="A299" t="s">
        <v>20</v>
      </c>
      <c r="D299" t="s">
        <v>20</v>
      </c>
      <c r="H299" t="s">
        <v>20</v>
      </c>
      <c r="L299" t="s">
        <v>20</v>
      </c>
      <c r="P299" t="s">
        <v>20</v>
      </c>
      <c r="T299" t="s">
        <v>20</v>
      </c>
    </row>
    <row r="300" spans="1:20" x14ac:dyDescent="0.25">
      <c r="A300" t="s">
        <v>104</v>
      </c>
      <c r="D300" t="s">
        <v>258</v>
      </c>
      <c r="H300" t="s">
        <v>371</v>
      </c>
      <c r="L300" t="s">
        <v>488</v>
      </c>
      <c r="P300" t="s">
        <v>607</v>
      </c>
      <c r="T300" t="s">
        <v>718</v>
      </c>
    </row>
    <row r="301" spans="1:20" x14ac:dyDescent="0.25">
      <c r="A301" t="s">
        <v>22</v>
      </c>
      <c r="D301" t="s">
        <v>22</v>
      </c>
      <c r="H301" t="s">
        <v>22</v>
      </c>
      <c r="L301" t="s">
        <v>22</v>
      </c>
      <c r="P301" t="s">
        <v>22</v>
      </c>
      <c r="T301" t="s">
        <v>22</v>
      </c>
    </row>
    <row r="302" spans="1:20" x14ac:dyDescent="0.25">
      <c r="A302" t="s">
        <v>105</v>
      </c>
      <c r="D302" t="s">
        <v>259</v>
      </c>
      <c r="H302" t="s">
        <v>372</v>
      </c>
      <c r="L302" t="s">
        <v>489</v>
      </c>
      <c r="P302" t="s">
        <v>608</v>
      </c>
      <c r="T302" t="s">
        <v>719</v>
      </c>
    </row>
    <row r="303" spans="1:20" x14ac:dyDescent="0.25">
      <c r="A303" t="s">
        <v>24</v>
      </c>
      <c r="D303" t="s">
        <v>24</v>
      </c>
      <c r="H303" t="s">
        <v>24</v>
      </c>
      <c r="L303" t="s">
        <v>24</v>
      </c>
      <c r="P303" t="s">
        <v>24</v>
      </c>
      <c r="T303" t="s">
        <v>24</v>
      </c>
    </row>
    <row r="304" spans="1:20" x14ac:dyDescent="0.25">
      <c r="A304" t="s">
        <v>25</v>
      </c>
      <c r="D304" t="s">
        <v>25</v>
      </c>
      <c r="H304" t="s">
        <v>25</v>
      </c>
      <c r="L304" t="s">
        <v>25</v>
      </c>
      <c r="P304" t="s">
        <v>25</v>
      </c>
      <c r="T304" t="s">
        <v>25</v>
      </c>
    </row>
    <row r="305" spans="1:20" x14ac:dyDescent="0.25">
      <c r="A305" t="s">
        <v>26</v>
      </c>
      <c r="D305" t="s">
        <v>26</v>
      </c>
      <c r="H305" t="s">
        <v>26</v>
      </c>
      <c r="L305" t="s">
        <v>26</v>
      </c>
      <c r="P305" t="s">
        <v>26</v>
      </c>
      <c r="T305" t="s">
        <v>26</v>
      </c>
    </row>
    <row r="307" spans="1:20" x14ac:dyDescent="0.25">
      <c r="A307" t="s">
        <v>8</v>
      </c>
      <c r="D307" t="s">
        <v>8</v>
      </c>
      <c r="H307" t="s">
        <v>8</v>
      </c>
      <c r="L307" t="s">
        <v>8</v>
      </c>
      <c r="P307" t="s">
        <v>8</v>
      </c>
      <c r="T307" t="s">
        <v>8</v>
      </c>
    </row>
    <row r="308" spans="1:20" x14ac:dyDescent="0.25">
      <c r="A308" t="s">
        <v>9</v>
      </c>
      <c r="D308" t="s">
        <v>9</v>
      </c>
      <c r="H308" t="s">
        <v>9</v>
      </c>
      <c r="L308" t="s">
        <v>9</v>
      </c>
      <c r="P308" t="s">
        <v>9</v>
      </c>
      <c r="T308" t="s">
        <v>9</v>
      </c>
    </row>
    <row r="309" spans="1:20" x14ac:dyDescent="0.25">
      <c r="A309" t="s">
        <v>106</v>
      </c>
      <c r="D309" t="s">
        <v>260</v>
      </c>
      <c r="H309" t="s">
        <v>373</v>
      </c>
      <c r="L309" t="s">
        <v>490</v>
      </c>
      <c r="P309" t="s">
        <v>609</v>
      </c>
      <c r="T309" t="s">
        <v>720</v>
      </c>
    </row>
    <row r="310" spans="1:20" x14ac:dyDescent="0.25">
      <c r="A310" t="s">
        <v>28</v>
      </c>
      <c r="D310" t="s">
        <v>28</v>
      </c>
      <c r="H310" t="s">
        <v>28</v>
      </c>
      <c r="L310" t="s">
        <v>28</v>
      </c>
      <c r="P310" t="s">
        <v>28</v>
      </c>
      <c r="T310" t="s">
        <v>28</v>
      </c>
    </row>
    <row r="311" spans="1:20" x14ac:dyDescent="0.25">
      <c r="A311" t="s">
        <v>107</v>
      </c>
      <c r="D311" t="s">
        <v>261</v>
      </c>
      <c r="H311" t="s">
        <v>374</v>
      </c>
      <c r="L311" t="s">
        <v>491</v>
      </c>
      <c r="P311" t="s">
        <v>610</v>
      </c>
      <c r="T311" t="s">
        <v>721</v>
      </c>
    </row>
    <row r="312" spans="1:20" x14ac:dyDescent="0.25">
      <c r="A312" t="s">
        <v>30</v>
      </c>
      <c r="D312" t="s">
        <v>30</v>
      </c>
      <c r="H312" t="s">
        <v>30</v>
      </c>
      <c r="L312" t="s">
        <v>30</v>
      </c>
      <c r="P312" t="s">
        <v>30</v>
      </c>
      <c r="T312" t="s">
        <v>30</v>
      </c>
    </row>
    <row r="313" spans="1:20" x14ac:dyDescent="0.25">
      <c r="A313" t="s">
        <v>31</v>
      </c>
      <c r="D313" t="s">
        <v>31</v>
      </c>
      <c r="H313" t="s">
        <v>31</v>
      </c>
      <c r="L313" t="s">
        <v>31</v>
      </c>
      <c r="P313" t="s">
        <v>31</v>
      </c>
      <c r="T313" t="s">
        <v>31</v>
      </c>
    </row>
    <row r="314" spans="1:20" x14ac:dyDescent="0.25">
      <c r="A314" t="s">
        <v>32</v>
      </c>
      <c r="D314" t="s">
        <v>32</v>
      </c>
      <c r="H314" t="s">
        <v>32</v>
      </c>
      <c r="L314" t="s">
        <v>32</v>
      </c>
      <c r="P314" t="s">
        <v>32</v>
      </c>
      <c r="T314" t="s">
        <v>32</v>
      </c>
    </row>
    <row r="315" spans="1:20" x14ac:dyDescent="0.25">
      <c r="A315" t="s">
        <v>108</v>
      </c>
      <c r="D315" t="s">
        <v>262</v>
      </c>
      <c r="H315" t="s">
        <v>375</v>
      </c>
      <c r="L315" t="s">
        <v>492</v>
      </c>
      <c r="P315" t="s">
        <v>611</v>
      </c>
      <c r="T315" t="s">
        <v>722</v>
      </c>
    </row>
    <row r="316" spans="1:20" x14ac:dyDescent="0.25">
      <c r="A316" t="s">
        <v>34</v>
      </c>
      <c r="D316" t="s">
        <v>34</v>
      </c>
      <c r="H316" t="s">
        <v>34</v>
      </c>
      <c r="L316" t="s">
        <v>34</v>
      </c>
      <c r="P316" t="s">
        <v>34</v>
      </c>
      <c r="T316" t="s">
        <v>34</v>
      </c>
    </row>
    <row r="317" spans="1:20" x14ac:dyDescent="0.25">
      <c r="A317" t="s">
        <v>109</v>
      </c>
      <c r="D317" t="s">
        <v>263</v>
      </c>
      <c r="H317" t="s">
        <v>376</v>
      </c>
      <c r="L317" t="s">
        <v>493</v>
      </c>
      <c r="P317" t="s">
        <v>612</v>
      </c>
      <c r="T317" t="s">
        <v>723</v>
      </c>
    </row>
    <row r="318" spans="1:20" x14ac:dyDescent="0.25">
      <c r="A318" t="s">
        <v>36</v>
      </c>
      <c r="D318" t="s">
        <v>36</v>
      </c>
      <c r="H318" t="s">
        <v>36</v>
      </c>
      <c r="L318" t="s">
        <v>36</v>
      </c>
      <c r="P318" t="s">
        <v>36</v>
      </c>
      <c r="T318" t="s">
        <v>36</v>
      </c>
    </row>
    <row r="319" spans="1:20" x14ac:dyDescent="0.25">
      <c r="A319" t="s">
        <v>37</v>
      </c>
      <c r="D319" t="s">
        <v>37</v>
      </c>
      <c r="H319" t="s">
        <v>37</v>
      </c>
      <c r="L319" t="s">
        <v>37</v>
      </c>
      <c r="P319" t="s">
        <v>37</v>
      </c>
      <c r="T319" t="s">
        <v>37</v>
      </c>
    </row>
    <row r="320" spans="1:20" x14ac:dyDescent="0.25">
      <c r="A320" t="s">
        <v>38</v>
      </c>
      <c r="D320" t="s">
        <v>38</v>
      </c>
      <c r="H320" t="s">
        <v>38</v>
      </c>
      <c r="L320" t="s">
        <v>38</v>
      </c>
      <c r="P320" t="s">
        <v>38</v>
      </c>
      <c r="T320" t="s">
        <v>38</v>
      </c>
    </row>
    <row r="322" spans="1:20" x14ac:dyDescent="0.25">
      <c r="A322" t="s">
        <v>14</v>
      </c>
      <c r="D322" t="s">
        <v>14</v>
      </c>
      <c r="H322" t="s">
        <v>14</v>
      </c>
      <c r="L322" t="s">
        <v>14</v>
      </c>
      <c r="P322" t="s">
        <v>14</v>
      </c>
      <c r="T322" t="s">
        <v>14</v>
      </c>
    </row>
    <row r="323" spans="1:20" x14ac:dyDescent="0.25">
      <c r="A323" t="s">
        <v>15</v>
      </c>
      <c r="D323" t="s">
        <v>15</v>
      </c>
      <c r="H323" t="s">
        <v>15</v>
      </c>
      <c r="L323" t="s">
        <v>15</v>
      </c>
      <c r="P323" t="s">
        <v>15</v>
      </c>
      <c r="T323" t="s">
        <v>15</v>
      </c>
    </row>
    <row r="324" spans="1:20" x14ac:dyDescent="0.25">
      <c r="A324" t="s">
        <v>110</v>
      </c>
      <c r="D324" t="s">
        <v>264</v>
      </c>
      <c r="H324" t="s">
        <v>377</v>
      </c>
      <c r="L324" t="s">
        <v>494</v>
      </c>
      <c r="P324" t="s">
        <v>613</v>
      </c>
      <c r="T324" t="s">
        <v>724</v>
      </c>
    </row>
    <row r="325" spans="1:20" x14ac:dyDescent="0.25">
      <c r="A325" t="s">
        <v>16</v>
      </c>
      <c r="D325" t="s">
        <v>16</v>
      </c>
      <c r="H325" t="s">
        <v>16</v>
      </c>
      <c r="L325" t="s">
        <v>16</v>
      </c>
      <c r="P325" t="s">
        <v>16</v>
      </c>
      <c r="T325" t="s">
        <v>16</v>
      </c>
    </row>
    <row r="326" spans="1:20" x14ac:dyDescent="0.25">
      <c r="A326" t="s">
        <v>111</v>
      </c>
      <c r="D326" t="s">
        <v>265</v>
      </c>
      <c r="H326" t="s">
        <v>378</v>
      </c>
      <c r="L326" t="s">
        <v>495</v>
      </c>
      <c r="P326" t="s">
        <v>614</v>
      </c>
      <c r="T326" t="s">
        <v>725</v>
      </c>
    </row>
    <row r="327" spans="1:20" x14ac:dyDescent="0.25">
      <c r="A327" t="s">
        <v>18</v>
      </c>
      <c r="D327" t="s">
        <v>18</v>
      </c>
      <c r="H327" t="s">
        <v>18</v>
      </c>
      <c r="L327" t="s">
        <v>18</v>
      </c>
      <c r="P327" t="s">
        <v>18</v>
      </c>
      <c r="T327" t="s">
        <v>18</v>
      </c>
    </row>
    <row r="328" spans="1:20" x14ac:dyDescent="0.25">
      <c r="A328" t="s">
        <v>19</v>
      </c>
      <c r="D328" t="s">
        <v>19</v>
      </c>
      <c r="H328" t="s">
        <v>19</v>
      </c>
      <c r="L328" t="s">
        <v>19</v>
      </c>
      <c r="P328" t="s">
        <v>19</v>
      </c>
      <c r="T328" t="s">
        <v>19</v>
      </c>
    </row>
    <row r="329" spans="1:20" x14ac:dyDescent="0.25">
      <c r="A329" t="s">
        <v>20</v>
      </c>
      <c r="D329" t="s">
        <v>20</v>
      </c>
      <c r="H329" t="s">
        <v>20</v>
      </c>
      <c r="L329" t="s">
        <v>20</v>
      </c>
      <c r="P329" t="s">
        <v>20</v>
      </c>
      <c r="T329" t="s">
        <v>20</v>
      </c>
    </row>
    <row r="330" spans="1:20" x14ac:dyDescent="0.25">
      <c r="A330" t="s">
        <v>112</v>
      </c>
      <c r="D330" t="s">
        <v>97</v>
      </c>
      <c r="H330" t="s">
        <v>379</v>
      </c>
      <c r="L330" t="s">
        <v>496</v>
      </c>
      <c r="P330" t="s">
        <v>615</v>
      </c>
      <c r="T330" t="s">
        <v>688</v>
      </c>
    </row>
    <row r="331" spans="1:20" x14ac:dyDescent="0.25">
      <c r="A331" t="s">
        <v>22</v>
      </c>
      <c r="D331" t="s">
        <v>22</v>
      </c>
      <c r="H331" t="s">
        <v>22</v>
      </c>
      <c r="L331" t="s">
        <v>22</v>
      </c>
      <c r="P331" t="s">
        <v>22</v>
      </c>
      <c r="T331" t="s">
        <v>22</v>
      </c>
    </row>
    <row r="332" spans="1:20" x14ac:dyDescent="0.25">
      <c r="A332" t="s">
        <v>113</v>
      </c>
      <c r="D332" t="s">
        <v>98</v>
      </c>
      <c r="H332" t="s">
        <v>380</v>
      </c>
      <c r="L332" t="s">
        <v>497</v>
      </c>
      <c r="P332" t="s">
        <v>616</v>
      </c>
      <c r="T332" t="s">
        <v>689</v>
      </c>
    </row>
    <row r="333" spans="1:20" x14ac:dyDescent="0.25">
      <c r="A333" t="s">
        <v>24</v>
      </c>
      <c r="D333" t="s">
        <v>24</v>
      </c>
      <c r="H333" t="s">
        <v>24</v>
      </c>
      <c r="L333" t="s">
        <v>24</v>
      </c>
      <c r="P333" t="s">
        <v>24</v>
      </c>
      <c r="T333" t="s">
        <v>24</v>
      </c>
    </row>
    <row r="334" spans="1:20" x14ac:dyDescent="0.25">
      <c r="A334" t="s">
        <v>25</v>
      </c>
      <c r="D334" t="s">
        <v>25</v>
      </c>
      <c r="H334" t="s">
        <v>25</v>
      </c>
      <c r="L334" t="s">
        <v>25</v>
      </c>
      <c r="P334" t="s">
        <v>25</v>
      </c>
      <c r="T334" t="s">
        <v>25</v>
      </c>
    </row>
    <row r="335" spans="1:20" x14ac:dyDescent="0.25">
      <c r="A335" t="s">
        <v>26</v>
      </c>
      <c r="D335" t="s">
        <v>26</v>
      </c>
      <c r="H335" t="s">
        <v>26</v>
      </c>
      <c r="L335" t="s">
        <v>26</v>
      </c>
      <c r="P335" t="s">
        <v>26</v>
      </c>
      <c r="T335" t="s">
        <v>26</v>
      </c>
    </row>
    <row r="337" spans="1:20" x14ac:dyDescent="0.25">
      <c r="A337" t="s">
        <v>8</v>
      </c>
      <c r="D337" t="s">
        <v>8</v>
      </c>
      <c r="H337" t="s">
        <v>8</v>
      </c>
      <c r="L337" t="s">
        <v>8</v>
      </c>
      <c r="P337" t="s">
        <v>8</v>
      </c>
      <c r="T337" t="s">
        <v>8</v>
      </c>
    </row>
    <row r="338" spans="1:20" x14ac:dyDescent="0.25">
      <c r="A338" t="s">
        <v>9</v>
      </c>
      <c r="D338" t="s">
        <v>9</v>
      </c>
      <c r="H338" t="s">
        <v>9</v>
      </c>
      <c r="L338" t="s">
        <v>9</v>
      </c>
      <c r="P338" t="s">
        <v>9</v>
      </c>
      <c r="T338" t="s">
        <v>9</v>
      </c>
    </row>
    <row r="339" spans="1:20" x14ac:dyDescent="0.25">
      <c r="A339" t="s">
        <v>114</v>
      </c>
      <c r="D339" t="s">
        <v>266</v>
      </c>
      <c r="H339" t="s">
        <v>381</v>
      </c>
      <c r="L339" t="s">
        <v>498</v>
      </c>
      <c r="P339" t="s">
        <v>617</v>
      </c>
      <c r="T339" t="s">
        <v>726</v>
      </c>
    </row>
    <row r="340" spans="1:20" x14ac:dyDescent="0.25">
      <c r="A340" t="s">
        <v>28</v>
      </c>
      <c r="D340" t="s">
        <v>28</v>
      </c>
      <c r="H340" t="s">
        <v>28</v>
      </c>
      <c r="L340" t="s">
        <v>28</v>
      </c>
      <c r="P340" t="s">
        <v>28</v>
      </c>
      <c r="T340" t="s">
        <v>28</v>
      </c>
    </row>
    <row r="341" spans="1:20" x14ac:dyDescent="0.25">
      <c r="A341" t="s">
        <v>115</v>
      </c>
      <c r="D341" t="s">
        <v>267</v>
      </c>
      <c r="H341" t="s">
        <v>382</v>
      </c>
      <c r="L341" t="s">
        <v>499</v>
      </c>
      <c r="P341" t="s">
        <v>618</v>
      </c>
      <c r="T341" t="s">
        <v>727</v>
      </c>
    </row>
    <row r="342" spans="1:20" x14ac:dyDescent="0.25">
      <c r="A342" t="s">
        <v>30</v>
      </c>
      <c r="D342" t="s">
        <v>30</v>
      </c>
      <c r="H342" t="s">
        <v>30</v>
      </c>
      <c r="L342" t="s">
        <v>30</v>
      </c>
      <c r="P342" t="s">
        <v>30</v>
      </c>
      <c r="T342" t="s">
        <v>30</v>
      </c>
    </row>
    <row r="343" spans="1:20" x14ac:dyDescent="0.25">
      <c r="A343" t="s">
        <v>31</v>
      </c>
      <c r="D343" t="s">
        <v>31</v>
      </c>
      <c r="H343" t="s">
        <v>31</v>
      </c>
      <c r="L343" t="s">
        <v>31</v>
      </c>
      <c r="P343" t="s">
        <v>31</v>
      </c>
      <c r="T343" t="s">
        <v>31</v>
      </c>
    </row>
    <row r="344" spans="1:20" x14ac:dyDescent="0.25">
      <c r="A344" t="s">
        <v>32</v>
      </c>
      <c r="D344" t="s">
        <v>32</v>
      </c>
      <c r="H344" t="s">
        <v>32</v>
      </c>
      <c r="L344" t="s">
        <v>32</v>
      </c>
      <c r="P344" t="s">
        <v>32</v>
      </c>
      <c r="T344" t="s">
        <v>32</v>
      </c>
    </row>
    <row r="345" spans="1:20" x14ac:dyDescent="0.25">
      <c r="A345" t="s">
        <v>116</v>
      </c>
      <c r="D345" t="s">
        <v>268</v>
      </c>
      <c r="H345" t="s">
        <v>383</v>
      </c>
      <c r="L345" t="s">
        <v>500</v>
      </c>
      <c r="P345" t="s">
        <v>619</v>
      </c>
      <c r="T345" t="s">
        <v>728</v>
      </c>
    </row>
    <row r="346" spans="1:20" x14ac:dyDescent="0.25">
      <c r="A346" t="s">
        <v>34</v>
      </c>
      <c r="D346" t="s">
        <v>34</v>
      </c>
      <c r="H346" t="s">
        <v>34</v>
      </c>
      <c r="L346" t="s">
        <v>34</v>
      </c>
      <c r="P346" t="s">
        <v>34</v>
      </c>
      <c r="T346" t="s">
        <v>34</v>
      </c>
    </row>
    <row r="347" spans="1:20" x14ac:dyDescent="0.25">
      <c r="A347" t="s">
        <v>117</v>
      </c>
      <c r="D347" t="s">
        <v>269</v>
      </c>
      <c r="H347" t="s">
        <v>384</v>
      </c>
      <c r="L347" t="s">
        <v>501</v>
      </c>
      <c r="P347" t="s">
        <v>620</v>
      </c>
      <c r="T347" t="s">
        <v>729</v>
      </c>
    </row>
    <row r="348" spans="1:20" x14ac:dyDescent="0.25">
      <c r="A348" t="s">
        <v>36</v>
      </c>
      <c r="D348" t="s">
        <v>36</v>
      </c>
      <c r="H348" t="s">
        <v>36</v>
      </c>
      <c r="L348" t="s">
        <v>36</v>
      </c>
      <c r="P348" t="s">
        <v>36</v>
      </c>
      <c r="T348" t="s">
        <v>36</v>
      </c>
    </row>
    <row r="349" spans="1:20" x14ac:dyDescent="0.25">
      <c r="A349" t="s">
        <v>37</v>
      </c>
      <c r="D349" t="s">
        <v>37</v>
      </c>
      <c r="H349" t="s">
        <v>37</v>
      </c>
      <c r="L349" t="s">
        <v>37</v>
      </c>
      <c r="P349" t="s">
        <v>37</v>
      </c>
      <c r="T349" t="s">
        <v>37</v>
      </c>
    </row>
    <row r="350" spans="1:20" x14ac:dyDescent="0.25">
      <c r="A350" t="s">
        <v>38</v>
      </c>
      <c r="D350" t="s">
        <v>38</v>
      </c>
      <c r="H350" t="s">
        <v>38</v>
      </c>
      <c r="L350" t="s">
        <v>38</v>
      </c>
      <c r="P350" t="s">
        <v>38</v>
      </c>
      <c r="T350" t="s">
        <v>38</v>
      </c>
    </row>
    <row r="352" spans="1:20" x14ac:dyDescent="0.25">
      <c r="A352" t="s">
        <v>14</v>
      </c>
      <c r="D352" t="s">
        <v>14</v>
      </c>
      <c r="H352" t="s">
        <v>14</v>
      </c>
      <c r="L352" t="s">
        <v>14</v>
      </c>
      <c r="P352" t="s">
        <v>14</v>
      </c>
      <c r="T352" t="s">
        <v>14</v>
      </c>
    </row>
    <row r="353" spans="1:20" x14ac:dyDescent="0.25">
      <c r="A353" t="s">
        <v>15</v>
      </c>
      <c r="D353" t="s">
        <v>15</v>
      </c>
      <c r="H353" t="s">
        <v>15</v>
      </c>
      <c r="L353" t="s">
        <v>15</v>
      </c>
      <c r="P353" t="s">
        <v>15</v>
      </c>
      <c r="T353" t="s">
        <v>15</v>
      </c>
    </row>
    <row r="354" spans="1:20" x14ac:dyDescent="0.25">
      <c r="A354" t="s">
        <v>118</v>
      </c>
      <c r="D354" t="s">
        <v>270</v>
      </c>
      <c r="H354" t="s">
        <v>385</v>
      </c>
      <c r="L354" t="s">
        <v>502</v>
      </c>
      <c r="P354" t="s">
        <v>621</v>
      </c>
      <c r="T354" t="s">
        <v>730</v>
      </c>
    </row>
    <row r="355" spans="1:20" x14ac:dyDescent="0.25">
      <c r="A355" t="s">
        <v>16</v>
      </c>
      <c r="D355" t="s">
        <v>16</v>
      </c>
      <c r="H355" t="s">
        <v>16</v>
      </c>
      <c r="L355" t="s">
        <v>16</v>
      </c>
      <c r="P355" t="s">
        <v>16</v>
      </c>
      <c r="T355" t="s">
        <v>16</v>
      </c>
    </row>
    <row r="356" spans="1:20" x14ac:dyDescent="0.25">
      <c r="A356" t="s">
        <v>119</v>
      </c>
      <c r="D356" t="s">
        <v>271</v>
      </c>
      <c r="H356" t="s">
        <v>386</v>
      </c>
      <c r="L356" t="s">
        <v>503</v>
      </c>
      <c r="P356" t="s">
        <v>614</v>
      </c>
      <c r="T356" t="s">
        <v>731</v>
      </c>
    </row>
    <row r="357" spans="1:20" x14ac:dyDescent="0.25">
      <c r="A357" t="s">
        <v>18</v>
      </c>
      <c r="D357" t="s">
        <v>18</v>
      </c>
      <c r="H357" t="s">
        <v>18</v>
      </c>
      <c r="L357" t="s">
        <v>18</v>
      </c>
      <c r="P357" t="s">
        <v>18</v>
      </c>
      <c r="T357" t="s">
        <v>18</v>
      </c>
    </row>
    <row r="358" spans="1:20" x14ac:dyDescent="0.25">
      <c r="A358" t="s">
        <v>19</v>
      </c>
      <c r="D358" t="s">
        <v>19</v>
      </c>
      <c r="H358" t="s">
        <v>19</v>
      </c>
      <c r="L358" t="s">
        <v>19</v>
      </c>
      <c r="P358" t="s">
        <v>19</v>
      </c>
      <c r="T358" t="s">
        <v>19</v>
      </c>
    </row>
    <row r="359" spans="1:20" x14ac:dyDescent="0.25">
      <c r="A359" t="s">
        <v>20</v>
      </c>
      <c r="D359" t="s">
        <v>20</v>
      </c>
      <c r="H359" t="s">
        <v>20</v>
      </c>
      <c r="L359" t="s">
        <v>20</v>
      </c>
      <c r="P359" t="s">
        <v>20</v>
      </c>
      <c r="T359" t="s">
        <v>20</v>
      </c>
    </row>
    <row r="360" spans="1:20" x14ac:dyDescent="0.25">
      <c r="A360" t="s">
        <v>120</v>
      </c>
      <c r="D360" t="s">
        <v>272</v>
      </c>
      <c r="H360" t="s">
        <v>348</v>
      </c>
      <c r="L360" t="s">
        <v>504</v>
      </c>
      <c r="P360" t="s">
        <v>622</v>
      </c>
      <c r="T360" t="s">
        <v>732</v>
      </c>
    </row>
    <row r="361" spans="1:20" x14ac:dyDescent="0.25">
      <c r="A361" t="s">
        <v>22</v>
      </c>
      <c r="D361" t="s">
        <v>22</v>
      </c>
      <c r="H361" t="s">
        <v>22</v>
      </c>
      <c r="L361" t="s">
        <v>22</v>
      </c>
      <c r="P361" t="s">
        <v>22</v>
      </c>
      <c r="T361" t="s">
        <v>22</v>
      </c>
    </row>
    <row r="362" spans="1:20" x14ac:dyDescent="0.25">
      <c r="A362" t="s">
        <v>121</v>
      </c>
      <c r="D362" t="s">
        <v>273</v>
      </c>
      <c r="H362" t="s">
        <v>349</v>
      </c>
      <c r="L362" t="s">
        <v>505</v>
      </c>
      <c r="P362" t="s">
        <v>623</v>
      </c>
      <c r="T362" t="s">
        <v>733</v>
      </c>
    </row>
    <row r="363" spans="1:20" x14ac:dyDescent="0.25">
      <c r="A363" t="s">
        <v>24</v>
      </c>
      <c r="D363" t="s">
        <v>24</v>
      </c>
      <c r="H363" t="s">
        <v>24</v>
      </c>
      <c r="L363" t="s">
        <v>24</v>
      </c>
      <c r="P363" t="s">
        <v>24</v>
      </c>
      <c r="T363" t="s">
        <v>24</v>
      </c>
    </row>
    <row r="364" spans="1:20" x14ac:dyDescent="0.25">
      <c r="A364" t="s">
        <v>25</v>
      </c>
      <c r="D364" t="s">
        <v>25</v>
      </c>
      <c r="H364" t="s">
        <v>25</v>
      </c>
      <c r="L364" t="s">
        <v>25</v>
      </c>
      <c r="P364" t="s">
        <v>25</v>
      </c>
      <c r="T364" t="s">
        <v>25</v>
      </c>
    </row>
    <row r="365" spans="1:20" x14ac:dyDescent="0.25">
      <c r="A365" t="s">
        <v>26</v>
      </c>
      <c r="D365" t="s">
        <v>26</v>
      </c>
      <c r="H365" t="s">
        <v>26</v>
      </c>
      <c r="L365" t="s">
        <v>26</v>
      </c>
      <c r="P365" t="s">
        <v>26</v>
      </c>
      <c r="T365" t="s">
        <v>26</v>
      </c>
    </row>
    <row r="367" spans="1:20" x14ac:dyDescent="0.25">
      <c r="A367" t="s">
        <v>8</v>
      </c>
      <c r="D367" t="s">
        <v>8</v>
      </c>
      <c r="H367" t="s">
        <v>8</v>
      </c>
      <c r="L367" t="s">
        <v>8</v>
      </c>
      <c r="P367" t="s">
        <v>8</v>
      </c>
      <c r="T367" t="s">
        <v>8</v>
      </c>
    </row>
    <row r="368" spans="1:20" x14ac:dyDescent="0.25">
      <c r="A368" t="s">
        <v>9</v>
      </c>
      <c r="D368" t="s">
        <v>9</v>
      </c>
      <c r="H368" t="s">
        <v>9</v>
      </c>
      <c r="L368" t="s">
        <v>9</v>
      </c>
      <c r="P368" t="s">
        <v>9</v>
      </c>
      <c r="T368" t="s">
        <v>9</v>
      </c>
    </row>
    <row r="369" spans="1:20" x14ac:dyDescent="0.25">
      <c r="A369" t="s">
        <v>122</v>
      </c>
      <c r="D369" t="s">
        <v>274</v>
      </c>
      <c r="H369" t="s">
        <v>387</v>
      </c>
      <c r="L369" t="s">
        <v>506</v>
      </c>
      <c r="P369" t="s">
        <v>624</v>
      </c>
      <c r="T369" t="s">
        <v>734</v>
      </c>
    </row>
    <row r="370" spans="1:20" x14ac:dyDescent="0.25">
      <c r="A370" t="s">
        <v>28</v>
      </c>
      <c r="D370" t="s">
        <v>28</v>
      </c>
      <c r="H370" t="s">
        <v>28</v>
      </c>
      <c r="L370" t="s">
        <v>28</v>
      </c>
      <c r="P370" t="s">
        <v>28</v>
      </c>
      <c r="T370" t="s">
        <v>28</v>
      </c>
    </row>
    <row r="371" spans="1:20" x14ac:dyDescent="0.25">
      <c r="A371" t="s">
        <v>123</v>
      </c>
      <c r="D371" t="s">
        <v>275</v>
      </c>
      <c r="H371" t="s">
        <v>388</v>
      </c>
      <c r="L371" t="s">
        <v>507</v>
      </c>
      <c r="P371" t="s">
        <v>625</v>
      </c>
      <c r="T371" t="s">
        <v>735</v>
      </c>
    </row>
    <row r="372" spans="1:20" x14ac:dyDescent="0.25">
      <c r="A372" t="s">
        <v>30</v>
      </c>
      <c r="D372" t="s">
        <v>30</v>
      </c>
      <c r="H372" t="s">
        <v>30</v>
      </c>
      <c r="L372" t="s">
        <v>30</v>
      </c>
      <c r="P372" t="s">
        <v>30</v>
      </c>
      <c r="T372" t="s">
        <v>30</v>
      </c>
    </row>
    <row r="373" spans="1:20" x14ac:dyDescent="0.25">
      <c r="A373" t="s">
        <v>31</v>
      </c>
      <c r="D373" t="s">
        <v>31</v>
      </c>
      <c r="H373" t="s">
        <v>31</v>
      </c>
      <c r="L373" t="s">
        <v>31</v>
      </c>
      <c r="P373" t="s">
        <v>31</v>
      </c>
      <c r="T373" t="s">
        <v>31</v>
      </c>
    </row>
    <row r="374" spans="1:20" x14ac:dyDescent="0.25">
      <c r="A374" t="s">
        <v>32</v>
      </c>
      <c r="D374" t="s">
        <v>32</v>
      </c>
      <c r="H374" t="s">
        <v>32</v>
      </c>
      <c r="L374" t="s">
        <v>32</v>
      </c>
      <c r="P374" t="s">
        <v>32</v>
      </c>
      <c r="T374" t="s">
        <v>32</v>
      </c>
    </row>
    <row r="375" spans="1:20" x14ac:dyDescent="0.25">
      <c r="A375" t="s">
        <v>124</v>
      </c>
      <c r="D375" t="s">
        <v>202</v>
      </c>
      <c r="H375" t="s">
        <v>389</v>
      </c>
      <c r="L375" t="s">
        <v>508</v>
      </c>
      <c r="P375" t="s">
        <v>626</v>
      </c>
      <c r="T375" t="s">
        <v>736</v>
      </c>
    </row>
    <row r="376" spans="1:20" x14ac:dyDescent="0.25">
      <c r="A376" t="s">
        <v>34</v>
      </c>
      <c r="D376" t="s">
        <v>34</v>
      </c>
      <c r="H376" t="s">
        <v>34</v>
      </c>
      <c r="L376" t="s">
        <v>34</v>
      </c>
      <c r="P376" t="s">
        <v>34</v>
      </c>
      <c r="T376" t="s">
        <v>34</v>
      </c>
    </row>
    <row r="377" spans="1:20" x14ac:dyDescent="0.25">
      <c r="A377" t="s">
        <v>125</v>
      </c>
      <c r="D377" t="s">
        <v>203</v>
      </c>
      <c r="H377" t="s">
        <v>390</v>
      </c>
      <c r="L377" t="s">
        <v>509</v>
      </c>
      <c r="P377" t="s">
        <v>627</v>
      </c>
      <c r="T377" t="s">
        <v>737</v>
      </c>
    </row>
    <row r="378" spans="1:20" x14ac:dyDescent="0.25">
      <c r="A378" t="s">
        <v>36</v>
      </c>
      <c r="D378" t="s">
        <v>36</v>
      </c>
      <c r="H378" t="s">
        <v>36</v>
      </c>
      <c r="L378" t="s">
        <v>36</v>
      </c>
      <c r="P378" t="s">
        <v>36</v>
      </c>
      <c r="T378" t="s">
        <v>36</v>
      </c>
    </row>
    <row r="379" spans="1:20" x14ac:dyDescent="0.25">
      <c r="A379" t="s">
        <v>37</v>
      </c>
      <c r="D379" t="s">
        <v>37</v>
      </c>
      <c r="H379" t="s">
        <v>37</v>
      </c>
      <c r="L379" t="s">
        <v>37</v>
      </c>
      <c r="P379" t="s">
        <v>37</v>
      </c>
      <c r="T379" t="s">
        <v>37</v>
      </c>
    </row>
    <row r="380" spans="1:20" x14ac:dyDescent="0.25">
      <c r="A380" t="s">
        <v>38</v>
      </c>
      <c r="D380" t="s">
        <v>38</v>
      </c>
      <c r="H380" t="s">
        <v>38</v>
      </c>
      <c r="L380" t="s">
        <v>38</v>
      </c>
      <c r="P380" t="s">
        <v>38</v>
      </c>
      <c r="T380" t="s">
        <v>38</v>
      </c>
    </row>
    <row r="382" spans="1:20" x14ac:dyDescent="0.25">
      <c r="A382" t="s">
        <v>14</v>
      </c>
      <c r="D382" t="s">
        <v>14</v>
      </c>
      <c r="H382" t="s">
        <v>14</v>
      </c>
      <c r="L382" t="s">
        <v>14</v>
      </c>
      <c r="P382" t="s">
        <v>14</v>
      </c>
      <c r="T382" t="s">
        <v>14</v>
      </c>
    </row>
    <row r="383" spans="1:20" x14ac:dyDescent="0.25">
      <c r="A383" t="s">
        <v>15</v>
      </c>
      <c r="D383" t="s">
        <v>15</v>
      </c>
      <c r="H383" t="s">
        <v>15</v>
      </c>
      <c r="L383" t="s">
        <v>15</v>
      </c>
      <c r="P383" t="s">
        <v>15</v>
      </c>
      <c r="T383" t="s">
        <v>15</v>
      </c>
    </row>
    <row r="384" spans="1:20" x14ac:dyDescent="0.25">
      <c r="A384" t="s">
        <v>126</v>
      </c>
      <c r="D384" t="s">
        <v>276</v>
      </c>
      <c r="H384" t="s">
        <v>391</v>
      </c>
      <c r="L384" t="s">
        <v>510</v>
      </c>
      <c r="P384" t="s">
        <v>628</v>
      </c>
      <c r="T384" t="s">
        <v>738</v>
      </c>
    </row>
    <row r="385" spans="1:20" x14ac:dyDescent="0.25">
      <c r="A385" t="s">
        <v>16</v>
      </c>
      <c r="D385" t="s">
        <v>16</v>
      </c>
      <c r="H385" t="s">
        <v>16</v>
      </c>
      <c r="L385" t="s">
        <v>16</v>
      </c>
      <c r="P385" t="s">
        <v>16</v>
      </c>
      <c r="T385" t="s">
        <v>16</v>
      </c>
    </row>
    <row r="386" spans="1:20" x14ac:dyDescent="0.25">
      <c r="A386" t="s">
        <v>127</v>
      </c>
      <c r="D386" t="s">
        <v>277</v>
      </c>
      <c r="H386" t="s">
        <v>392</v>
      </c>
      <c r="L386" t="s">
        <v>511</v>
      </c>
      <c r="P386" t="s">
        <v>629</v>
      </c>
      <c r="T386" t="s">
        <v>739</v>
      </c>
    </row>
    <row r="387" spans="1:20" x14ac:dyDescent="0.25">
      <c r="A387" t="s">
        <v>18</v>
      </c>
      <c r="D387" t="s">
        <v>18</v>
      </c>
      <c r="H387" t="s">
        <v>18</v>
      </c>
      <c r="L387" t="s">
        <v>18</v>
      </c>
      <c r="P387" t="s">
        <v>18</v>
      </c>
      <c r="T387" t="s">
        <v>18</v>
      </c>
    </row>
    <row r="388" spans="1:20" x14ac:dyDescent="0.25">
      <c r="A388" t="s">
        <v>19</v>
      </c>
      <c r="D388" t="s">
        <v>19</v>
      </c>
      <c r="H388" t="s">
        <v>19</v>
      </c>
      <c r="L388" t="s">
        <v>19</v>
      </c>
      <c r="P388" t="s">
        <v>19</v>
      </c>
      <c r="T388" t="s">
        <v>19</v>
      </c>
    </row>
    <row r="389" spans="1:20" x14ac:dyDescent="0.25">
      <c r="A389" t="s">
        <v>20</v>
      </c>
      <c r="D389" t="s">
        <v>20</v>
      </c>
      <c r="H389" t="s">
        <v>20</v>
      </c>
      <c r="L389" t="s">
        <v>20</v>
      </c>
      <c r="P389" t="s">
        <v>20</v>
      </c>
      <c r="T389" t="s">
        <v>20</v>
      </c>
    </row>
    <row r="390" spans="1:20" x14ac:dyDescent="0.25">
      <c r="A390" t="s">
        <v>128</v>
      </c>
      <c r="D390" t="s">
        <v>278</v>
      </c>
      <c r="H390" t="s">
        <v>393</v>
      </c>
      <c r="L390" t="s">
        <v>512</v>
      </c>
      <c r="P390" t="s">
        <v>630</v>
      </c>
      <c r="T390" t="s">
        <v>740</v>
      </c>
    </row>
    <row r="391" spans="1:20" x14ac:dyDescent="0.25">
      <c r="A391" t="s">
        <v>22</v>
      </c>
      <c r="D391" t="s">
        <v>22</v>
      </c>
      <c r="H391" t="s">
        <v>22</v>
      </c>
      <c r="L391" t="s">
        <v>22</v>
      </c>
      <c r="P391" t="s">
        <v>22</v>
      </c>
      <c r="T391" t="s">
        <v>22</v>
      </c>
    </row>
    <row r="392" spans="1:20" x14ac:dyDescent="0.25">
      <c r="A392" t="s">
        <v>129</v>
      </c>
      <c r="D392" t="s">
        <v>279</v>
      </c>
      <c r="H392" t="s">
        <v>394</v>
      </c>
      <c r="L392" t="s">
        <v>513</v>
      </c>
      <c r="P392" t="s">
        <v>631</v>
      </c>
      <c r="T392" t="s">
        <v>741</v>
      </c>
    </row>
    <row r="393" spans="1:20" x14ac:dyDescent="0.25">
      <c r="A393" t="s">
        <v>24</v>
      </c>
      <c r="D393" t="s">
        <v>24</v>
      </c>
      <c r="H393" t="s">
        <v>24</v>
      </c>
      <c r="L393" t="s">
        <v>24</v>
      </c>
      <c r="P393" t="s">
        <v>24</v>
      </c>
      <c r="T393" t="s">
        <v>24</v>
      </c>
    </row>
    <row r="394" spans="1:20" x14ac:dyDescent="0.25">
      <c r="A394" t="s">
        <v>25</v>
      </c>
      <c r="D394" t="s">
        <v>25</v>
      </c>
      <c r="H394" t="s">
        <v>25</v>
      </c>
      <c r="L394" t="s">
        <v>25</v>
      </c>
      <c r="P394" t="s">
        <v>25</v>
      </c>
      <c r="T394" t="s">
        <v>25</v>
      </c>
    </row>
    <row r="395" spans="1:20" x14ac:dyDescent="0.25">
      <c r="A395" t="s">
        <v>26</v>
      </c>
      <c r="D395" t="s">
        <v>26</v>
      </c>
      <c r="H395" t="s">
        <v>26</v>
      </c>
      <c r="L395" t="s">
        <v>26</v>
      </c>
      <c r="P395" t="s">
        <v>26</v>
      </c>
      <c r="T395" t="s">
        <v>26</v>
      </c>
    </row>
    <row r="397" spans="1:20" x14ac:dyDescent="0.25">
      <c r="A397" t="s">
        <v>8</v>
      </c>
      <c r="D397" t="s">
        <v>8</v>
      </c>
      <c r="H397" t="s">
        <v>8</v>
      </c>
      <c r="L397" t="s">
        <v>8</v>
      </c>
      <c r="P397" t="s">
        <v>8</v>
      </c>
      <c r="T397" t="s">
        <v>8</v>
      </c>
    </row>
    <row r="398" spans="1:20" x14ac:dyDescent="0.25">
      <c r="A398" t="s">
        <v>9</v>
      </c>
      <c r="D398" t="s">
        <v>9</v>
      </c>
      <c r="H398" t="s">
        <v>9</v>
      </c>
      <c r="L398" t="s">
        <v>9</v>
      </c>
      <c r="P398" t="s">
        <v>9</v>
      </c>
      <c r="T398" t="s">
        <v>9</v>
      </c>
    </row>
    <row r="399" spans="1:20" x14ac:dyDescent="0.25">
      <c r="A399" t="s">
        <v>130</v>
      </c>
      <c r="D399" t="s">
        <v>280</v>
      </c>
      <c r="H399" t="s">
        <v>395</v>
      </c>
      <c r="L399" t="s">
        <v>514</v>
      </c>
      <c r="P399" t="s">
        <v>632</v>
      </c>
      <c r="T399" t="s">
        <v>742</v>
      </c>
    </row>
    <row r="400" spans="1:20" x14ac:dyDescent="0.25">
      <c r="A400" t="s">
        <v>28</v>
      </c>
      <c r="D400" t="s">
        <v>28</v>
      </c>
      <c r="H400" t="s">
        <v>28</v>
      </c>
      <c r="L400" t="s">
        <v>28</v>
      </c>
      <c r="P400" t="s">
        <v>28</v>
      </c>
      <c r="T400" t="s">
        <v>28</v>
      </c>
    </row>
    <row r="401" spans="1:20" x14ac:dyDescent="0.25">
      <c r="A401" t="s">
        <v>44</v>
      </c>
      <c r="D401" t="s">
        <v>275</v>
      </c>
      <c r="H401" t="s">
        <v>396</v>
      </c>
      <c r="L401" t="s">
        <v>429</v>
      </c>
      <c r="P401" t="s">
        <v>633</v>
      </c>
      <c r="T401" t="s">
        <v>743</v>
      </c>
    </row>
    <row r="402" spans="1:20" x14ac:dyDescent="0.25">
      <c r="A402" t="s">
        <v>30</v>
      </c>
      <c r="D402" t="s">
        <v>30</v>
      </c>
      <c r="H402" t="s">
        <v>30</v>
      </c>
      <c r="L402" t="s">
        <v>30</v>
      </c>
      <c r="P402" t="s">
        <v>30</v>
      </c>
      <c r="T402" t="s">
        <v>30</v>
      </c>
    </row>
    <row r="403" spans="1:20" x14ac:dyDescent="0.25">
      <c r="A403" t="s">
        <v>31</v>
      </c>
      <c r="D403" t="s">
        <v>31</v>
      </c>
      <c r="H403" t="s">
        <v>31</v>
      </c>
      <c r="L403" t="s">
        <v>31</v>
      </c>
      <c r="P403" t="s">
        <v>31</v>
      </c>
      <c r="T403" t="s">
        <v>31</v>
      </c>
    </row>
    <row r="404" spans="1:20" x14ac:dyDescent="0.25">
      <c r="A404" t="s">
        <v>32</v>
      </c>
      <c r="D404" t="s">
        <v>32</v>
      </c>
      <c r="H404" t="s">
        <v>32</v>
      </c>
      <c r="L404" t="s">
        <v>32</v>
      </c>
      <c r="P404" t="s">
        <v>32</v>
      </c>
      <c r="T404" t="s">
        <v>32</v>
      </c>
    </row>
    <row r="405" spans="1:20" x14ac:dyDescent="0.25">
      <c r="A405" t="s">
        <v>131</v>
      </c>
      <c r="D405" t="s">
        <v>281</v>
      </c>
      <c r="H405" t="s">
        <v>397</v>
      </c>
      <c r="L405" t="s">
        <v>515</v>
      </c>
      <c r="P405" t="s">
        <v>634</v>
      </c>
      <c r="T405" t="s">
        <v>116</v>
      </c>
    </row>
    <row r="406" spans="1:20" x14ac:dyDescent="0.25">
      <c r="A406" t="s">
        <v>34</v>
      </c>
      <c r="D406" t="s">
        <v>34</v>
      </c>
      <c r="H406" t="s">
        <v>34</v>
      </c>
      <c r="L406" t="s">
        <v>34</v>
      </c>
      <c r="P406" t="s">
        <v>34</v>
      </c>
      <c r="T406" t="s">
        <v>34</v>
      </c>
    </row>
    <row r="407" spans="1:20" x14ac:dyDescent="0.25">
      <c r="A407" t="s">
        <v>132</v>
      </c>
      <c r="D407" t="s">
        <v>282</v>
      </c>
      <c r="H407" t="s">
        <v>398</v>
      </c>
      <c r="L407" t="s">
        <v>516</v>
      </c>
      <c r="P407" t="s">
        <v>635</v>
      </c>
      <c r="T407" t="s">
        <v>117</v>
      </c>
    </row>
    <row r="408" spans="1:20" x14ac:dyDescent="0.25">
      <c r="A408" t="s">
        <v>36</v>
      </c>
      <c r="D408" t="s">
        <v>36</v>
      </c>
      <c r="H408" t="s">
        <v>36</v>
      </c>
      <c r="L408" t="s">
        <v>36</v>
      </c>
      <c r="P408" t="s">
        <v>36</v>
      </c>
      <c r="T408" t="s">
        <v>36</v>
      </c>
    </row>
    <row r="409" spans="1:20" x14ac:dyDescent="0.25">
      <c r="A409" t="s">
        <v>37</v>
      </c>
      <c r="D409" t="s">
        <v>37</v>
      </c>
      <c r="H409" t="s">
        <v>37</v>
      </c>
      <c r="L409" t="s">
        <v>37</v>
      </c>
      <c r="P409" t="s">
        <v>37</v>
      </c>
      <c r="T409" t="s">
        <v>37</v>
      </c>
    </row>
    <row r="410" spans="1:20" x14ac:dyDescent="0.25">
      <c r="A410" t="s">
        <v>38</v>
      </c>
      <c r="D410" t="s">
        <v>38</v>
      </c>
      <c r="H410" t="s">
        <v>38</v>
      </c>
      <c r="L410" t="s">
        <v>38</v>
      </c>
      <c r="P410" t="s">
        <v>38</v>
      </c>
      <c r="T410" t="s">
        <v>38</v>
      </c>
    </row>
    <row r="412" spans="1:20" x14ac:dyDescent="0.25">
      <c r="A412" t="s">
        <v>14</v>
      </c>
      <c r="D412" t="s">
        <v>14</v>
      </c>
      <c r="H412" t="s">
        <v>14</v>
      </c>
      <c r="L412" t="s">
        <v>14</v>
      </c>
      <c r="P412" t="s">
        <v>14</v>
      </c>
      <c r="T412" t="s">
        <v>14</v>
      </c>
    </row>
    <row r="413" spans="1:20" x14ac:dyDescent="0.25">
      <c r="A413" t="s">
        <v>15</v>
      </c>
      <c r="D413" t="s">
        <v>15</v>
      </c>
      <c r="H413" t="s">
        <v>15</v>
      </c>
      <c r="L413" t="s">
        <v>15</v>
      </c>
      <c r="P413" t="s">
        <v>15</v>
      </c>
      <c r="T413" t="s">
        <v>15</v>
      </c>
    </row>
    <row r="414" spans="1:20" x14ac:dyDescent="0.25">
      <c r="A414" t="s">
        <v>133</v>
      </c>
      <c r="D414" t="s">
        <v>283</v>
      </c>
      <c r="H414" t="s">
        <v>399</v>
      </c>
      <c r="L414" t="s">
        <v>517</v>
      </c>
      <c r="P414" t="s">
        <v>636</v>
      </c>
      <c r="T414" t="s">
        <v>744</v>
      </c>
    </row>
    <row r="415" spans="1:20" x14ac:dyDescent="0.25">
      <c r="A415" t="s">
        <v>16</v>
      </c>
      <c r="D415" t="s">
        <v>16</v>
      </c>
      <c r="H415" t="s">
        <v>16</v>
      </c>
      <c r="L415" t="s">
        <v>16</v>
      </c>
      <c r="P415" t="s">
        <v>16</v>
      </c>
      <c r="T415" t="s">
        <v>16</v>
      </c>
    </row>
    <row r="416" spans="1:20" x14ac:dyDescent="0.25">
      <c r="A416" t="s">
        <v>134</v>
      </c>
      <c r="D416" t="s">
        <v>284</v>
      </c>
      <c r="H416" t="s">
        <v>400</v>
      </c>
      <c r="L416" t="s">
        <v>518</v>
      </c>
      <c r="P416" t="s">
        <v>637</v>
      </c>
      <c r="T416" t="s">
        <v>745</v>
      </c>
    </row>
    <row r="417" spans="1:20" x14ac:dyDescent="0.25">
      <c r="A417" t="s">
        <v>18</v>
      </c>
      <c r="D417" t="s">
        <v>18</v>
      </c>
      <c r="H417" t="s">
        <v>18</v>
      </c>
      <c r="L417" t="s">
        <v>18</v>
      </c>
      <c r="P417" t="s">
        <v>18</v>
      </c>
      <c r="T417" t="s">
        <v>18</v>
      </c>
    </row>
    <row r="418" spans="1:20" x14ac:dyDescent="0.25">
      <c r="A418" t="s">
        <v>19</v>
      </c>
      <c r="D418" t="s">
        <v>19</v>
      </c>
      <c r="H418" t="s">
        <v>19</v>
      </c>
      <c r="L418" t="s">
        <v>19</v>
      </c>
      <c r="P418" t="s">
        <v>19</v>
      </c>
      <c r="T418" t="s">
        <v>19</v>
      </c>
    </row>
    <row r="419" spans="1:20" x14ac:dyDescent="0.25">
      <c r="A419" t="s">
        <v>20</v>
      </c>
      <c r="D419" t="s">
        <v>20</v>
      </c>
      <c r="H419" t="s">
        <v>20</v>
      </c>
      <c r="L419" t="s">
        <v>20</v>
      </c>
      <c r="P419" t="s">
        <v>20</v>
      </c>
      <c r="T419" t="s">
        <v>20</v>
      </c>
    </row>
    <row r="420" spans="1:20" x14ac:dyDescent="0.25">
      <c r="A420" t="s">
        <v>135</v>
      </c>
      <c r="D420" t="s">
        <v>285</v>
      </c>
      <c r="H420" t="s">
        <v>401</v>
      </c>
      <c r="L420" t="s">
        <v>519</v>
      </c>
      <c r="P420" t="s">
        <v>591</v>
      </c>
      <c r="T420" t="s">
        <v>746</v>
      </c>
    </row>
    <row r="421" spans="1:20" x14ac:dyDescent="0.25">
      <c r="A421" t="s">
        <v>22</v>
      </c>
      <c r="D421" t="s">
        <v>22</v>
      </c>
      <c r="H421" t="s">
        <v>22</v>
      </c>
      <c r="L421" t="s">
        <v>22</v>
      </c>
      <c r="P421" t="s">
        <v>22</v>
      </c>
      <c r="T421" t="s">
        <v>22</v>
      </c>
    </row>
    <row r="422" spans="1:20" x14ac:dyDescent="0.25">
      <c r="A422" t="s">
        <v>136</v>
      </c>
      <c r="D422" t="s">
        <v>286</v>
      </c>
      <c r="H422" t="s">
        <v>402</v>
      </c>
      <c r="L422" t="s">
        <v>520</v>
      </c>
      <c r="P422" t="s">
        <v>592</v>
      </c>
      <c r="T422" t="s">
        <v>747</v>
      </c>
    </row>
    <row r="423" spans="1:20" x14ac:dyDescent="0.25">
      <c r="A423" t="s">
        <v>24</v>
      </c>
      <c r="D423" t="s">
        <v>24</v>
      </c>
      <c r="H423" t="s">
        <v>24</v>
      </c>
      <c r="L423" t="s">
        <v>24</v>
      </c>
      <c r="P423" t="s">
        <v>24</v>
      </c>
      <c r="T423" t="s">
        <v>24</v>
      </c>
    </row>
    <row r="424" spans="1:20" x14ac:dyDescent="0.25">
      <c r="A424" t="s">
        <v>25</v>
      </c>
      <c r="D424" t="s">
        <v>25</v>
      </c>
      <c r="H424" t="s">
        <v>25</v>
      </c>
      <c r="L424" t="s">
        <v>25</v>
      </c>
      <c r="P424" t="s">
        <v>25</v>
      </c>
      <c r="T424" t="s">
        <v>25</v>
      </c>
    </row>
    <row r="425" spans="1:20" x14ac:dyDescent="0.25">
      <c r="A425" t="s">
        <v>26</v>
      </c>
      <c r="D425" t="s">
        <v>26</v>
      </c>
      <c r="H425" t="s">
        <v>26</v>
      </c>
      <c r="L425" t="s">
        <v>26</v>
      </c>
      <c r="P425" t="s">
        <v>26</v>
      </c>
      <c r="T425" t="s">
        <v>26</v>
      </c>
    </row>
    <row r="427" spans="1:20" x14ac:dyDescent="0.25">
      <c r="A427" t="s">
        <v>8</v>
      </c>
      <c r="D427" t="s">
        <v>8</v>
      </c>
      <c r="H427" t="s">
        <v>8</v>
      </c>
      <c r="L427" t="s">
        <v>8</v>
      </c>
      <c r="P427" t="s">
        <v>8</v>
      </c>
      <c r="T427" t="s">
        <v>8</v>
      </c>
    </row>
    <row r="428" spans="1:20" x14ac:dyDescent="0.25">
      <c r="A428" t="s">
        <v>9</v>
      </c>
      <c r="D428" t="s">
        <v>9</v>
      </c>
      <c r="H428" t="s">
        <v>9</v>
      </c>
      <c r="L428" t="s">
        <v>9</v>
      </c>
      <c r="P428" t="s">
        <v>9</v>
      </c>
      <c r="T428" t="s">
        <v>9</v>
      </c>
    </row>
    <row r="429" spans="1:20" x14ac:dyDescent="0.25">
      <c r="A429" t="s">
        <v>137</v>
      </c>
      <c r="D429" t="s">
        <v>287</v>
      </c>
      <c r="H429" t="s">
        <v>403</v>
      </c>
      <c r="L429" t="s">
        <v>521</v>
      </c>
      <c r="P429" t="s">
        <v>638</v>
      </c>
      <c r="T429" t="s">
        <v>748</v>
      </c>
    </row>
    <row r="430" spans="1:20" x14ac:dyDescent="0.25">
      <c r="A430" t="s">
        <v>28</v>
      </c>
      <c r="D430" t="s">
        <v>28</v>
      </c>
      <c r="H430" t="s">
        <v>28</v>
      </c>
      <c r="L430" t="s">
        <v>28</v>
      </c>
      <c r="P430" t="s">
        <v>28</v>
      </c>
      <c r="T430" t="s">
        <v>28</v>
      </c>
    </row>
    <row r="431" spans="1:20" x14ac:dyDescent="0.25">
      <c r="A431" t="s">
        <v>138</v>
      </c>
      <c r="D431" t="s">
        <v>288</v>
      </c>
      <c r="H431" t="s">
        <v>404</v>
      </c>
      <c r="L431" t="s">
        <v>522</v>
      </c>
      <c r="P431" t="s">
        <v>639</v>
      </c>
      <c r="T431" t="s">
        <v>749</v>
      </c>
    </row>
    <row r="432" spans="1:20" x14ac:dyDescent="0.25">
      <c r="A432" t="s">
        <v>30</v>
      </c>
      <c r="D432" t="s">
        <v>30</v>
      </c>
      <c r="H432" t="s">
        <v>30</v>
      </c>
      <c r="L432" t="s">
        <v>30</v>
      </c>
      <c r="P432" t="s">
        <v>30</v>
      </c>
      <c r="T432" t="s">
        <v>30</v>
      </c>
    </row>
    <row r="433" spans="1:20" x14ac:dyDescent="0.25">
      <c r="A433" t="s">
        <v>31</v>
      </c>
      <c r="D433" t="s">
        <v>31</v>
      </c>
      <c r="H433" t="s">
        <v>31</v>
      </c>
      <c r="L433" t="s">
        <v>31</v>
      </c>
      <c r="P433" t="s">
        <v>31</v>
      </c>
      <c r="T433" t="s">
        <v>31</v>
      </c>
    </row>
    <row r="434" spans="1:20" x14ac:dyDescent="0.25">
      <c r="A434" t="s">
        <v>32</v>
      </c>
      <c r="D434" t="s">
        <v>32</v>
      </c>
      <c r="H434" t="s">
        <v>32</v>
      </c>
      <c r="L434" t="s">
        <v>32</v>
      </c>
      <c r="P434" t="s">
        <v>32</v>
      </c>
      <c r="T434" t="s">
        <v>32</v>
      </c>
    </row>
    <row r="435" spans="1:20" x14ac:dyDescent="0.25">
      <c r="A435" t="s">
        <v>139</v>
      </c>
      <c r="D435" t="s">
        <v>289</v>
      </c>
      <c r="H435" t="s">
        <v>405</v>
      </c>
      <c r="L435" t="s">
        <v>523</v>
      </c>
      <c r="P435" t="s">
        <v>640</v>
      </c>
      <c r="T435" t="s">
        <v>750</v>
      </c>
    </row>
    <row r="436" spans="1:20" x14ac:dyDescent="0.25">
      <c r="A436" t="s">
        <v>34</v>
      </c>
      <c r="D436" t="s">
        <v>34</v>
      </c>
      <c r="H436" t="s">
        <v>34</v>
      </c>
      <c r="L436" t="s">
        <v>34</v>
      </c>
      <c r="P436" t="s">
        <v>34</v>
      </c>
      <c r="T436" t="s">
        <v>34</v>
      </c>
    </row>
    <row r="437" spans="1:20" x14ac:dyDescent="0.25">
      <c r="A437" t="s">
        <v>140</v>
      </c>
      <c r="D437" t="s">
        <v>290</v>
      </c>
      <c r="H437" t="s">
        <v>406</v>
      </c>
      <c r="L437" t="s">
        <v>524</v>
      </c>
      <c r="P437" t="s">
        <v>641</v>
      </c>
      <c r="T437" t="s">
        <v>751</v>
      </c>
    </row>
    <row r="438" spans="1:20" x14ac:dyDescent="0.25">
      <c r="A438" t="s">
        <v>36</v>
      </c>
      <c r="D438" t="s">
        <v>36</v>
      </c>
      <c r="H438" t="s">
        <v>36</v>
      </c>
      <c r="L438" t="s">
        <v>36</v>
      </c>
      <c r="P438" t="s">
        <v>36</v>
      </c>
      <c r="T438" t="s">
        <v>36</v>
      </c>
    </row>
    <row r="439" spans="1:20" x14ac:dyDescent="0.25">
      <c r="A439" t="s">
        <v>37</v>
      </c>
      <c r="D439" t="s">
        <v>37</v>
      </c>
      <c r="H439" t="s">
        <v>37</v>
      </c>
      <c r="L439" t="s">
        <v>37</v>
      </c>
      <c r="P439" t="s">
        <v>37</v>
      </c>
      <c r="T439" t="s">
        <v>37</v>
      </c>
    </row>
    <row r="440" spans="1:20" x14ac:dyDescent="0.25">
      <c r="A440" t="s">
        <v>38</v>
      </c>
      <c r="D440" t="s">
        <v>38</v>
      </c>
      <c r="H440" t="s">
        <v>38</v>
      </c>
      <c r="L440" t="s">
        <v>38</v>
      </c>
      <c r="P440" t="s">
        <v>38</v>
      </c>
      <c r="T440" t="s">
        <v>38</v>
      </c>
    </row>
    <row r="442" spans="1:20" x14ac:dyDescent="0.25">
      <c r="A442" t="s">
        <v>14</v>
      </c>
      <c r="D442" t="s">
        <v>14</v>
      </c>
      <c r="H442" t="s">
        <v>14</v>
      </c>
      <c r="L442" t="s">
        <v>14</v>
      </c>
      <c r="P442" t="s">
        <v>14</v>
      </c>
      <c r="T442" t="s">
        <v>14</v>
      </c>
    </row>
    <row r="443" spans="1:20" x14ac:dyDescent="0.25">
      <c r="A443" t="s">
        <v>15</v>
      </c>
      <c r="D443" t="s">
        <v>15</v>
      </c>
      <c r="H443" t="s">
        <v>15</v>
      </c>
      <c r="L443" t="s">
        <v>15</v>
      </c>
      <c r="P443" t="s">
        <v>15</v>
      </c>
      <c r="T443" t="s">
        <v>15</v>
      </c>
    </row>
    <row r="444" spans="1:20" x14ac:dyDescent="0.25">
      <c r="A444" t="s">
        <v>141</v>
      </c>
      <c r="D444" t="s">
        <v>291</v>
      </c>
      <c r="H444" t="s">
        <v>407</v>
      </c>
      <c r="L444" t="s">
        <v>525</v>
      </c>
      <c r="P444" t="s">
        <v>642</v>
      </c>
      <c r="T444" t="s">
        <v>752</v>
      </c>
    </row>
    <row r="445" spans="1:20" x14ac:dyDescent="0.25">
      <c r="A445" t="s">
        <v>16</v>
      </c>
      <c r="D445" t="s">
        <v>16</v>
      </c>
      <c r="H445" t="s">
        <v>16</v>
      </c>
      <c r="L445" t="s">
        <v>16</v>
      </c>
      <c r="P445" t="s">
        <v>16</v>
      </c>
      <c r="T445" t="s">
        <v>16</v>
      </c>
    </row>
    <row r="446" spans="1:20" x14ac:dyDescent="0.25">
      <c r="A446" t="s">
        <v>142</v>
      </c>
      <c r="D446" t="s">
        <v>292</v>
      </c>
      <c r="H446" t="s">
        <v>408</v>
      </c>
      <c r="L446" t="s">
        <v>526</v>
      </c>
      <c r="P446" t="s">
        <v>643</v>
      </c>
      <c r="T446" t="s">
        <v>753</v>
      </c>
    </row>
    <row r="447" spans="1:20" x14ac:dyDescent="0.25">
      <c r="A447" t="s">
        <v>18</v>
      </c>
      <c r="D447" t="s">
        <v>18</v>
      </c>
      <c r="H447" t="s">
        <v>18</v>
      </c>
      <c r="L447" t="s">
        <v>18</v>
      </c>
      <c r="P447" t="s">
        <v>18</v>
      </c>
      <c r="T447" t="s">
        <v>18</v>
      </c>
    </row>
    <row r="448" spans="1:20" x14ac:dyDescent="0.25">
      <c r="A448" t="s">
        <v>19</v>
      </c>
      <c r="D448" t="s">
        <v>19</v>
      </c>
      <c r="H448" t="s">
        <v>19</v>
      </c>
      <c r="L448" t="s">
        <v>19</v>
      </c>
      <c r="P448" t="s">
        <v>19</v>
      </c>
      <c r="T448" t="s">
        <v>19</v>
      </c>
    </row>
    <row r="449" spans="1:20" x14ac:dyDescent="0.25">
      <c r="A449" t="s">
        <v>20</v>
      </c>
      <c r="D449" t="s">
        <v>20</v>
      </c>
      <c r="H449" t="s">
        <v>20</v>
      </c>
      <c r="L449" t="s">
        <v>20</v>
      </c>
      <c r="P449" t="s">
        <v>20</v>
      </c>
      <c r="T449" t="s">
        <v>20</v>
      </c>
    </row>
    <row r="450" spans="1:20" x14ac:dyDescent="0.25">
      <c r="A450" t="s">
        <v>143</v>
      </c>
      <c r="D450" t="s">
        <v>293</v>
      </c>
      <c r="H450" t="s">
        <v>409</v>
      </c>
      <c r="L450" t="s">
        <v>527</v>
      </c>
      <c r="P450" t="s">
        <v>644</v>
      </c>
      <c r="T450" t="s">
        <v>754</v>
      </c>
    </row>
    <row r="451" spans="1:20" x14ac:dyDescent="0.25">
      <c r="A451" t="s">
        <v>22</v>
      </c>
      <c r="D451" t="s">
        <v>22</v>
      </c>
      <c r="H451" t="s">
        <v>22</v>
      </c>
      <c r="L451" t="s">
        <v>22</v>
      </c>
      <c r="P451" t="s">
        <v>22</v>
      </c>
      <c r="T451" t="s">
        <v>22</v>
      </c>
    </row>
    <row r="452" spans="1:20" x14ac:dyDescent="0.25">
      <c r="A452" t="s">
        <v>144</v>
      </c>
      <c r="D452" t="s">
        <v>294</v>
      </c>
      <c r="H452" t="s">
        <v>410</v>
      </c>
      <c r="L452" t="s">
        <v>528</v>
      </c>
      <c r="P452" t="s">
        <v>645</v>
      </c>
      <c r="T452" t="s">
        <v>755</v>
      </c>
    </row>
    <row r="453" spans="1:20" x14ac:dyDescent="0.25">
      <c r="A453" t="s">
        <v>24</v>
      </c>
      <c r="D453" t="s">
        <v>24</v>
      </c>
      <c r="H453" t="s">
        <v>24</v>
      </c>
      <c r="L453" t="s">
        <v>24</v>
      </c>
      <c r="P453" t="s">
        <v>24</v>
      </c>
      <c r="T453" t="s">
        <v>24</v>
      </c>
    </row>
    <row r="454" spans="1:20" x14ac:dyDescent="0.25">
      <c r="A454" t="s">
        <v>25</v>
      </c>
      <c r="D454" t="s">
        <v>25</v>
      </c>
      <c r="H454" t="s">
        <v>25</v>
      </c>
      <c r="L454" t="s">
        <v>25</v>
      </c>
      <c r="P454" t="s">
        <v>25</v>
      </c>
      <c r="T454" t="s">
        <v>25</v>
      </c>
    </row>
    <row r="455" spans="1:20" x14ac:dyDescent="0.25">
      <c r="A455" t="s">
        <v>26</v>
      </c>
      <c r="D455" t="s">
        <v>26</v>
      </c>
      <c r="H455" t="s">
        <v>26</v>
      </c>
      <c r="L455" t="s">
        <v>26</v>
      </c>
      <c r="P455" t="s">
        <v>26</v>
      </c>
      <c r="T455" t="s">
        <v>26</v>
      </c>
    </row>
    <row r="457" spans="1:20" x14ac:dyDescent="0.25">
      <c r="A457" t="s">
        <v>12</v>
      </c>
      <c r="D457" t="s">
        <v>12</v>
      </c>
      <c r="H457" t="s">
        <v>12</v>
      </c>
      <c r="L457" t="s">
        <v>12</v>
      </c>
      <c r="P457" t="s">
        <v>12</v>
      </c>
      <c r="T457" t="s">
        <v>12</v>
      </c>
    </row>
    <row r="458" spans="1:20" x14ac:dyDescent="0.25">
      <c r="A458" t="s">
        <v>13</v>
      </c>
      <c r="D458" t="s">
        <v>13</v>
      </c>
      <c r="H458" t="s">
        <v>13</v>
      </c>
      <c r="L458" t="s">
        <v>13</v>
      </c>
      <c r="P458" t="s">
        <v>13</v>
      </c>
      <c r="T458" t="s">
        <v>13</v>
      </c>
    </row>
    <row r="459" spans="1:20" x14ac:dyDescent="0.25">
      <c r="A459" t="s">
        <v>10</v>
      </c>
      <c r="D459" t="s">
        <v>10</v>
      </c>
      <c r="H459" t="s">
        <v>10</v>
      </c>
      <c r="L459" t="s">
        <v>10</v>
      </c>
      <c r="P459" t="s">
        <v>10</v>
      </c>
      <c r="T459" t="s">
        <v>10</v>
      </c>
    </row>
    <row r="460" spans="1:20" x14ac:dyDescent="0.25">
      <c r="A460" t="s">
        <v>11</v>
      </c>
      <c r="D460" t="s">
        <v>11</v>
      </c>
      <c r="H460" t="s">
        <v>11</v>
      </c>
      <c r="L460" t="s">
        <v>11</v>
      </c>
      <c r="P460" t="s">
        <v>11</v>
      </c>
      <c r="T460" t="s">
        <v>11</v>
      </c>
    </row>
    <row r="461" spans="1:20" x14ac:dyDescent="0.25">
      <c r="A461" t="s">
        <v>8</v>
      </c>
      <c r="D461" t="s">
        <v>8</v>
      </c>
      <c r="H461" t="s">
        <v>8</v>
      </c>
      <c r="L461" t="s">
        <v>8</v>
      </c>
      <c r="P461" t="s">
        <v>8</v>
      </c>
      <c r="T461" t="s">
        <v>8</v>
      </c>
    </row>
    <row r="462" spans="1:20" x14ac:dyDescent="0.25">
      <c r="A462" t="s">
        <v>9</v>
      </c>
      <c r="D462" t="s">
        <v>9</v>
      </c>
      <c r="H462" t="s">
        <v>9</v>
      </c>
      <c r="L462" t="s">
        <v>9</v>
      </c>
      <c r="P462" t="s">
        <v>9</v>
      </c>
      <c r="T462" t="s">
        <v>9</v>
      </c>
    </row>
    <row r="463" spans="1:20" x14ac:dyDescent="0.25">
      <c r="A463" t="s">
        <v>145</v>
      </c>
      <c r="D463" t="s">
        <v>295</v>
      </c>
      <c r="H463" t="s">
        <v>411</v>
      </c>
      <c r="L463" t="s">
        <v>529</v>
      </c>
      <c r="P463" t="s">
        <v>646</v>
      </c>
      <c r="T463" t="s">
        <v>756</v>
      </c>
    </row>
    <row r="464" spans="1:20" x14ac:dyDescent="0.25">
      <c r="A464" t="s">
        <v>28</v>
      </c>
      <c r="D464" t="s">
        <v>28</v>
      </c>
      <c r="H464" t="s">
        <v>28</v>
      </c>
      <c r="L464" t="s">
        <v>28</v>
      </c>
      <c r="P464" t="s">
        <v>28</v>
      </c>
      <c r="T464" t="s">
        <v>28</v>
      </c>
    </row>
    <row r="465" spans="1:20" x14ac:dyDescent="0.25">
      <c r="A465" t="s">
        <v>146</v>
      </c>
      <c r="D465" t="s">
        <v>296</v>
      </c>
      <c r="H465" t="s">
        <v>412</v>
      </c>
      <c r="L465" t="s">
        <v>530</v>
      </c>
      <c r="P465" t="s">
        <v>647</v>
      </c>
      <c r="T465" t="s">
        <v>437</v>
      </c>
    </row>
    <row r="466" spans="1:20" x14ac:dyDescent="0.25">
      <c r="A466" t="s">
        <v>30</v>
      </c>
      <c r="D466" t="s">
        <v>30</v>
      </c>
      <c r="H466" t="s">
        <v>30</v>
      </c>
      <c r="L466" t="s">
        <v>30</v>
      </c>
      <c r="P466" t="s">
        <v>30</v>
      </c>
      <c r="T466" t="s">
        <v>30</v>
      </c>
    </row>
    <row r="467" spans="1:20" x14ac:dyDescent="0.25">
      <c r="A467" t="s">
        <v>31</v>
      </c>
      <c r="D467" t="s">
        <v>31</v>
      </c>
      <c r="H467" t="s">
        <v>31</v>
      </c>
      <c r="L467" t="s">
        <v>31</v>
      </c>
      <c r="P467" t="s">
        <v>31</v>
      </c>
      <c r="T467" t="s">
        <v>31</v>
      </c>
    </row>
    <row r="468" spans="1:20" x14ac:dyDescent="0.25">
      <c r="A468" t="s">
        <v>32</v>
      </c>
      <c r="D468" t="s">
        <v>32</v>
      </c>
      <c r="H468" t="s">
        <v>32</v>
      </c>
      <c r="L468" t="s">
        <v>32</v>
      </c>
      <c r="P468" t="s">
        <v>32</v>
      </c>
      <c r="T468" t="s">
        <v>32</v>
      </c>
    </row>
    <row r="469" spans="1:20" x14ac:dyDescent="0.25">
      <c r="A469" t="s">
        <v>147</v>
      </c>
      <c r="D469" t="s">
        <v>297</v>
      </c>
      <c r="H469" t="s">
        <v>413</v>
      </c>
      <c r="L469" t="s">
        <v>531</v>
      </c>
      <c r="P469" t="s">
        <v>648</v>
      </c>
      <c r="T469" t="s">
        <v>757</v>
      </c>
    </row>
    <row r="470" spans="1:20" x14ac:dyDescent="0.25">
      <c r="A470" t="s">
        <v>34</v>
      </c>
      <c r="D470" t="s">
        <v>34</v>
      </c>
      <c r="H470" t="s">
        <v>34</v>
      </c>
      <c r="L470" t="s">
        <v>34</v>
      </c>
      <c r="P470" t="s">
        <v>34</v>
      </c>
      <c r="T470" t="s">
        <v>34</v>
      </c>
    </row>
    <row r="471" spans="1:20" x14ac:dyDescent="0.25">
      <c r="A471" t="s">
        <v>148</v>
      </c>
      <c r="D471" t="s">
        <v>298</v>
      </c>
      <c r="H471" t="s">
        <v>414</v>
      </c>
      <c r="L471" t="s">
        <v>532</v>
      </c>
      <c r="P471" t="s">
        <v>649</v>
      </c>
      <c r="T471" t="s">
        <v>758</v>
      </c>
    </row>
    <row r="472" spans="1:20" x14ac:dyDescent="0.25">
      <c r="A472" t="s">
        <v>36</v>
      </c>
      <c r="D472" t="s">
        <v>36</v>
      </c>
      <c r="H472" t="s">
        <v>36</v>
      </c>
      <c r="L472" t="s">
        <v>36</v>
      </c>
      <c r="P472" t="s">
        <v>36</v>
      </c>
      <c r="T472" t="s">
        <v>36</v>
      </c>
    </row>
    <row r="473" spans="1:20" x14ac:dyDescent="0.25">
      <c r="A473" t="s">
        <v>37</v>
      </c>
      <c r="D473" t="s">
        <v>37</v>
      </c>
      <c r="H473" t="s">
        <v>37</v>
      </c>
      <c r="L473" t="s">
        <v>37</v>
      </c>
      <c r="P473" t="s">
        <v>37</v>
      </c>
      <c r="T473" t="s">
        <v>37</v>
      </c>
    </row>
    <row r="474" spans="1:20" x14ac:dyDescent="0.25">
      <c r="A474" t="s">
        <v>38</v>
      </c>
      <c r="D474" t="s">
        <v>38</v>
      </c>
      <c r="H474" t="s">
        <v>38</v>
      </c>
      <c r="L474" t="s">
        <v>38</v>
      </c>
      <c r="P474" t="s">
        <v>38</v>
      </c>
      <c r="T474" t="s">
        <v>38</v>
      </c>
    </row>
    <row r="475" spans="1:20" x14ac:dyDescent="0.25">
      <c r="A475" t="s">
        <v>14</v>
      </c>
      <c r="D475" t="s">
        <v>14</v>
      </c>
      <c r="H475" t="s">
        <v>14</v>
      </c>
      <c r="L475" t="s">
        <v>14</v>
      </c>
      <c r="P475" t="s">
        <v>14</v>
      </c>
      <c r="T475" t="s">
        <v>14</v>
      </c>
    </row>
    <row r="476" spans="1:20" x14ac:dyDescent="0.25">
      <c r="A476" t="s">
        <v>15</v>
      </c>
      <c r="D476" t="s">
        <v>15</v>
      </c>
      <c r="H476" t="s">
        <v>15</v>
      </c>
      <c r="L476" t="s">
        <v>15</v>
      </c>
      <c r="P476" t="s">
        <v>15</v>
      </c>
      <c r="T476" t="s">
        <v>15</v>
      </c>
    </row>
    <row r="477" spans="1:20" x14ac:dyDescent="0.25">
      <c r="A477" t="s">
        <v>12</v>
      </c>
      <c r="D477" t="s">
        <v>12</v>
      </c>
      <c r="H477" t="s">
        <v>12</v>
      </c>
      <c r="L477" t="s">
        <v>12</v>
      </c>
      <c r="P477" t="s">
        <v>12</v>
      </c>
      <c r="T477" t="s">
        <v>12</v>
      </c>
    </row>
    <row r="478" spans="1:20" x14ac:dyDescent="0.25">
      <c r="A478" t="s">
        <v>13</v>
      </c>
      <c r="D478" t="s">
        <v>13</v>
      </c>
      <c r="H478" t="s">
        <v>13</v>
      </c>
      <c r="L478" t="s">
        <v>13</v>
      </c>
      <c r="P478" t="s">
        <v>13</v>
      </c>
      <c r="T478" t="s">
        <v>13</v>
      </c>
    </row>
    <row r="479" spans="1:20" x14ac:dyDescent="0.25">
      <c r="A479" t="s">
        <v>2</v>
      </c>
      <c r="D479" t="s">
        <v>2</v>
      </c>
      <c r="H479" t="s">
        <v>2</v>
      </c>
      <c r="L479" t="s">
        <v>2</v>
      </c>
      <c r="P479" t="s">
        <v>2</v>
      </c>
      <c r="T479" t="s">
        <v>2</v>
      </c>
    </row>
    <row r="480" spans="1:20" x14ac:dyDescent="0.25">
      <c r="A480" t="s">
        <v>3</v>
      </c>
      <c r="D480" t="s">
        <v>3</v>
      </c>
      <c r="H480" t="s">
        <v>3</v>
      </c>
      <c r="L480" t="s">
        <v>3</v>
      </c>
      <c r="P480" t="s">
        <v>3</v>
      </c>
      <c r="T480" t="s">
        <v>3</v>
      </c>
    </row>
    <row r="481" spans="1:20" x14ac:dyDescent="0.25">
      <c r="A481" t="s">
        <v>4</v>
      </c>
      <c r="D481" t="s">
        <v>4</v>
      </c>
      <c r="H481" t="s">
        <v>4</v>
      </c>
      <c r="L481" t="s">
        <v>4</v>
      </c>
      <c r="P481" t="s">
        <v>4</v>
      </c>
      <c r="T481" t="s">
        <v>4</v>
      </c>
    </row>
    <row r="482" spans="1:20" x14ac:dyDescent="0.25">
      <c r="A482" t="s">
        <v>5</v>
      </c>
      <c r="D482" t="s">
        <v>5</v>
      </c>
      <c r="H482" t="s">
        <v>5</v>
      </c>
      <c r="L482" t="s">
        <v>5</v>
      </c>
      <c r="P482" t="s">
        <v>5</v>
      </c>
      <c r="T482" t="s">
        <v>5</v>
      </c>
    </row>
    <row r="483" spans="1:20" x14ac:dyDescent="0.25">
      <c r="A483" t="s">
        <v>6</v>
      </c>
      <c r="D483" t="s">
        <v>6</v>
      </c>
      <c r="H483" t="s">
        <v>6</v>
      </c>
      <c r="L483" t="s">
        <v>6</v>
      </c>
      <c r="P483" t="s">
        <v>6</v>
      </c>
      <c r="T483" t="s">
        <v>6</v>
      </c>
    </row>
    <row r="484" spans="1:20" x14ac:dyDescent="0.25">
      <c r="A484" t="s">
        <v>7</v>
      </c>
      <c r="D484" t="s">
        <v>7</v>
      </c>
      <c r="H484" t="s">
        <v>7</v>
      </c>
      <c r="L484" t="s">
        <v>7</v>
      </c>
      <c r="P484" t="s">
        <v>7</v>
      </c>
      <c r="T484" t="s">
        <v>7</v>
      </c>
    </row>
    <row r="485" spans="1:20" x14ac:dyDescent="0.25">
      <c r="A485" t="s">
        <v>8</v>
      </c>
      <c r="D485" t="s">
        <v>8</v>
      </c>
      <c r="H485" t="s">
        <v>8</v>
      </c>
      <c r="L485" t="s">
        <v>8</v>
      </c>
      <c r="P485" t="s">
        <v>8</v>
      </c>
      <c r="T485" t="s">
        <v>8</v>
      </c>
    </row>
    <row r="486" spans="1:20" x14ac:dyDescent="0.25">
      <c r="A486" t="s">
        <v>9</v>
      </c>
      <c r="D486" t="s">
        <v>9</v>
      </c>
      <c r="H486" t="s">
        <v>9</v>
      </c>
      <c r="L486" t="s">
        <v>9</v>
      </c>
      <c r="P486" t="s">
        <v>9</v>
      </c>
      <c r="T486" t="s">
        <v>9</v>
      </c>
    </row>
    <row r="487" spans="1:20" x14ac:dyDescent="0.25">
      <c r="A487" t="s">
        <v>149</v>
      </c>
      <c r="D487" t="s">
        <v>149</v>
      </c>
      <c r="H487" t="s">
        <v>149</v>
      </c>
      <c r="L487" t="s">
        <v>149</v>
      </c>
      <c r="P487" t="s">
        <v>149</v>
      </c>
      <c r="T487" t="s">
        <v>149</v>
      </c>
    </row>
    <row r="488" spans="1:20" x14ac:dyDescent="0.25">
      <c r="A488" t="s">
        <v>150</v>
      </c>
      <c r="D488" t="s">
        <v>150</v>
      </c>
      <c r="H488" t="s">
        <v>150</v>
      </c>
      <c r="L488" t="s">
        <v>150</v>
      </c>
      <c r="P488" t="s">
        <v>150</v>
      </c>
      <c r="T488" t="s">
        <v>150</v>
      </c>
    </row>
    <row r="489" spans="1:20" x14ac:dyDescent="0.25">
      <c r="A489" t="s">
        <v>151</v>
      </c>
      <c r="D489" t="s">
        <v>151</v>
      </c>
      <c r="H489" t="s">
        <v>151</v>
      </c>
      <c r="L489" t="s">
        <v>151</v>
      </c>
      <c r="P489" t="s">
        <v>151</v>
      </c>
      <c r="T489" t="s">
        <v>151</v>
      </c>
    </row>
    <row r="490" spans="1:20" x14ac:dyDescent="0.25">
      <c r="A490" t="s">
        <v>152</v>
      </c>
      <c r="D490" t="s">
        <v>152</v>
      </c>
      <c r="H490" t="s">
        <v>152</v>
      </c>
      <c r="L490" t="s">
        <v>152</v>
      </c>
      <c r="P490" t="s">
        <v>152</v>
      </c>
      <c r="T490" t="s">
        <v>152</v>
      </c>
    </row>
    <row r="491" spans="1:20" x14ac:dyDescent="0.25">
      <c r="A491" t="s">
        <v>149</v>
      </c>
      <c r="D491" t="s">
        <v>149</v>
      </c>
      <c r="H491" t="s">
        <v>149</v>
      </c>
      <c r="L491" t="s">
        <v>149</v>
      </c>
      <c r="P491" t="s">
        <v>149</v>
      </c>
      <c r="T491" t="s">
        <v>149</v>
      </c>
    </row>
    <row r="492" spans="1:20" x14ac:dyDescent="0.25">
      <c r="A492" t="s">
        <v>153</v>
      </c>
      <c r="D492" t="s">
        <v>153</v>
      </c>
      <c r="H492" t="s">
        <v>153</v>
      </c>
      <c r="L492" t="s">
        <v>153</v>
      </c>
      <c r="P492" t="s">
        <v>153</v>
      </c>
      <c r="T492" t="s">
        <v>153</v>
      </c>
    </row>
    <row r="493" spans="1:20" x14ac:dyDescent="0.25">
      <c r="A493" t="s">
        <v>151</v>
      </c>
      <c r="D493" t="s">
        <v>151</v>
      </c>
      <c r="H493" t="s">
        <v>151</v>
      </c>
      <c r="L493" t="s">
        <v>151</v>
      </c>
      <c r="P493" t="s">
        <v>151</v>
      </c>
      <c r="T493" t="s">
        <v>151</v>
      </c>
    </row>
    <row r="494" spans="1:20" x14ac:dyDescent="0.25">
      <c r="A494" t="s">
        <v>154</v>
      </c>
      <c r="D494" t="s">
        <v>154</v>
      </c>
      <c r="H494" t="s">
        <v>154</v>
      </c>
      <c r="L494" t="s">
        <v>154</v>
      </c>
      <c r="P494" t="s">
        <v>154</v>
      </c>
      <c r="T494" t="s">
        <v>154</v>
      </c>
    </row>
    <row r="495" spans="1:20" x14ac:dyDescent="0.25">
      <c r="A495" t="s">
        <v>155</v>
      </c>
      <c r="D495" t="s">
        <v>155</v>
      </c>
      <c r="H495" t="s">
        <v>155</v>
      </c>
      <c r="L495" t="s">
        <v>155</v>
      </c>
      <c r="P495" t="s">
        <v>155</v>
      </c>
      <c r="T495" t="s">
        <v>155</v>
      </c>
    </row>
    <row r="496" spans="1:20" x14ac:dyDescent="0.25">
      <c r="A496" t="s">
        <v>156</v>
      </c>
      <c r="D496" t="s">
        <v>156</v>
      </c>
      <c r="H496" t="s">
        <v>156</v>
      </c>
      <c r="L496" t="s">
        <v>156</v>
      </c>
      <c r="P496" t="s">
        <v>156</v>
      </c>
      <c r="T496" t="s">
        <v>156</v>
      </c>
    </row>
    <row r="497" spans="1:20" x14ac:dyDescent="0.25">
      <c r="A497" t="s">
        <v>157</v>
      </c>
      <c r="D497" t="s">
        <v>157</v>
      </c>
      <c r="H497" t="s">
        <v>157</v>
      </c>
      <c r="L497" t="s">
        <v>157</v>
      </c>
      <c r="P497" t="s">
        <v>157</v>
      </c>
      <c r="T497" t="s">
        <v>157</v>
      </c>
    </row>
    <row r="498" spans="1:20" x14ac:dyDescent="0.25">
      <c r="A498" t="s">
        <v>158</v>
      </c>
      <c r="D498" t="s">
        <v>158</v>
      </c>
      <c r="H498" t="s">
        <v>158</v>
      </c>
      <c r="L498" t="s">
        <v>158</v>
      </c>
      <c r="P498" t="s">
        <v>158</v>
      </c>
      <c r="T498" t="s">
        <v>158</v>
      </c>
    </row>
    <row r="499" spans="1:20" x14ac:dyDescent="0.25">
      <c r="A499" t="s">
        <v>155</v>
      </c>
      <c r="D499" t="s">
        <v>155</v>
      </c>
      <c r="H499" t="s">
        <v>155</v>
      </c>
      <c r="L499" t="s">
        <v>155</v>
      </c>
      <c r="P499" t="s">
        <v>155</v>
      </c>
      <c r="T499" t="s">
        <v>155</v>
      </c>
    </row>
    <row r="500" spans="1:20" x14ac:dyDescent="0.25">
      <c r="A500" t="s">
        <v>159</v>
      </c>
      <c r="D500" t="s">
        <v>159</v>
      </c>
      <c r="H500" t="s">
        <v>159</v>
      </c>
      <c r="L500" t="s">
        <v>159</v>
      </c>
      <c r="P500" t="s">
        <v>159</v>
      </c>
      <c r="T500" t="s">
        <v>159</v>
      </c>
    </row>
    <row r="501" spans="1:20" x14ac:dyDescent="0.25">
      <c r="A501" t="s">
        <v>160</v>
      </c>
      <c r="D501" t="s">
        <v>160</v>
      </c>
      <c r="H501" t="s">
        <v>160</v>
      </c>
      <c r="L501" t="s">
        <v>160</v>
      </c>
      <c r="P501" t="s">
        <v>160</v>
      </c>
      <c r="T501" t="s">
        <v>160</v>
      </c>
    </row>
    <row r="502" spans="1:20" x14ac:dyDescent="0.25">
      <c r="A502" t="s">
        <v>161</v>
      </c>
      <c r="D502" t="s">
        <v>161</v>
      </c>
      <c r="H502" t="s">
        <v>161</v>
      </c>
      <c r="L502" t="s">
        <v>161</v>
      </c>
      <c r="P502" t="s">
        <v>161</v>
      </c>
      <c r="T502" t="s">
        <v>161</v>
      </c>
    </row>
    <row r="503" spans="1:20" x14ac:dyDescent="0.25">
      <c r="A503" t="s">
        <v>155</v>
      </c>
      <c r="D503" t="s">
        <v>155</v>
      </c>
      <c r="H503" t="s">
        <v>155</v>
      </c>
      <c r="L503" t="s">
        <v>155</v>
      </c>
      <c r="P503" t="s">
        <v>155</v>
      </c>
      <c r="T503" t="s">
        <v>155</v>
      </c>
    </row>
    <row r="504" spans="1:20" x14ac:dyDescent="0.25">
      <c r="A504" t="s">
        <v>162</v>
      </c>
      <c r="D504" t="s">
        <v>162</v>
      </c>
      <c r="H504" t="s">
        <v>162</v>
      </c>
      <c r="L504" t="s">
        <v>162</v>
      </c>
      <c r="P504" t="s">
        <v>162</v>
      </c>
      <c r="T504" t="s">
        <v>162</v>
      </c>
    </row>
    <row r="505" spans="1:20" x14ac:dyDescent="0.25">
      <c r="A505" t="s">
        <v>160</v>
      </c>
      <c r="D505" t="s">
        <v>160</v>
      </c>
      <c r="H505" t="s">
        <v>160</v>
      </c>
      <c r="L505" t="s">
        <v>160</v>
      </c>
      <c r="P505" t="s">
        <v>160</v>
      </c>
      <c r="T505" t="s">
        <v>160</v>
      </c>
    </row>
    <row r="506" spans="1:20" x14ac:dyDescent="0.25">
      <c r="A506" t="s">
        <v>163</v>
      </c>
      <c r="D506" t="s">
        <v>163</v>
      </c>
      <c r="H506" t="s">
        <v>163</v>
      </c>
      <c r="L506" t="s">
        <v>163</v>
      </c>
      <c r="P506" t="s">
        <v>163</v>
      </c>
      <c r="T506" t="s">
        <v>163</v>
      </c>
    </row>
    <row r="507" spans="1:20" x14ac:dyDescent="0.25">
      <c r="A507" t="s">
        <v>155</v>
      </c>
      <c r="D507" t="s">
        <v>155</v>
      </c>
      <c r="H507" t="s">
        <v>155</v>
      </c>
      <c r="L507" t="s">
        <v>155</v>
      </c>
      <c r="P507" t="s">
        <v>155</v>
      </c>
      <c r="T507" t="s">
        <v>155</v>
      </c>
    </row>
    <row r="508" spans="1:20" x14ac:dyDescent="0.25">
      <c r="A508" t="s">
        <v>164</v>
      </c>
      <c r="D508" t="s">
        <v>164</v>
      </c>
      <c r="H508" t="s">
        <v>164</v>
      </c>
      <c r="L508" t="s">
        <v>164</v>
      </c>
      <c r="P508" t="s">
        <v>164</v>
      </c>
      <c r="T508" t="s">
        <v>164</v>
      </c>
    </row>
    <row r="509" spans="1:20" x14ac:dyDescent="0.25">
      <c r="A509" t="s">
        <v>165</v>
      </c>
      <c r="D509" t="s">
        <v>165</v>
      </c>
      <c r="H509" t="s">
        <v>165</v>
      </c>
      <c r="L509" t="s">
        <v>165</v>
      </c>
      <c r="P509" t="s">
        <v>165</v>
      </c>
      <c r="T509" t="s">
        <v>165</v>
      </c>
    </row>
    <row r="510" spans="1:20" x14ac:dyDescent="0.25">
      <c r="A510" t="s">
        <v>166</v>
      </c>
      <c r="D510" t="s">
        <v>166</v>
      </c>
      <c r="H510" t="s">
        <v>166</v>
      </c>
      <c r="L510" t="s">
        <v>166</v>
      </c>
      <c r="P510" t="s">
        <v>166</v>
      </c>
      <c r="T510" t="s">
        <v>166</v>
      </c>
    </row>
    <row r="511" spans="1:20" x14ac:dyDescent="0.25">
      <c r="A511" t="s">
        <v>167</v>
      </c>
      <c r="D511" t="s">
        <v>167</v>
      </c>
      <c r="H511" t="s">
        <v>167</v>
      </c>
      <c r="L511" t="s">
        <v>167</v>
      </c>
      <c r="P511" t="s">
        <v>167</v>
      </c>
      <c r="T511" t="s">
        <v>167</v>
      </c>
    </row>
    <row r="512" spans="1:20" x14ac:dyDescent="0.25">
      <c r="A512" t="s">
        <v>168</v>
      </c>
      <c r="D512" t="s">
        <v>168</v>
      </c>
      <c r="H512" t="s">
        <v>168</v>
      </c>
      <c r="L512" t="s">
        <v>168</v>
      </c>
      <c r="P512" t="s">
        <v>168</v>
      </c>
      <c r="T512" t="s">
        <v>168</v>
      </c>
    </row>
    <row r="513" spans="1:20" x14ac:dyDescent="0.25">
      <c r="A513" t="s">
        <v>169</v>
      </c>
      <c r="D513" t="s">
        <v>169</v>
      </c>
      <c r="H513" t="s">
        <v>169</v>
      </c>
      <c r="L513" t="s">
        <v>169</v>
      </c>
      <c r="P513" t="s">
        <v>169</v>
      </c>
      <c r="T513" t="s">
        <v>169</v>
      </c>
    </row>
    <row r="514" spans="1:20" x14ac:dyDescent="0.25">
      <c r="A514" t="s">
        <v>170</v>
      </c>
      <c r="D514" t="s">
        <v>170</v>
      </c>
      <c r="H514" t="s">
        <v>170</v>
      </c>
      <c r="L514" t="s">
        <v>170</v>
      </c>
      <c r="P514" t="s">
        <v>170</v>
      </c>
      <c r="T514" t="s">
        <v>170</v>
      </c>
    </row>
    <row r="515" spans="1:20" x14ac:dyDescent="0.25">
      <c r="A515" t="s">
        <v>171</v>
      </c>
      <c r="D515" t="s">
        <v>171</v>
      </c>
      <c r="H515" t="s">
        <v>171</v>
      </c>
      <c r="L515" t="s">
        <v>171</v>
      </c>
      <c r="P515" t="s">
        <v>171</v>
      </c>
      <c r="T515" t="s">
        <v>171</v>
      </c>
    </row>
    <row r="516" spans="1:20" x14ac:dyDescent="0.25">
      <c r="A516" t="s">
        <v>172</v>
      </c>
      <c r="D516" t="s">
        <v>172</v>
      </c>
      <c r="H516" t="s">
        <v>172</v>
      </c>
      <c r="L516" t="s">
        <v>172</v>
      </c>
      <c r="P516" t="s">
        <v>172</v>
      </c>
      <c r="T516" t="s">
        <v>172</v>
      </c>
    </row>
    <row r="517" spans="1:20" x14ac:dyDescent="0.25">
      <c r="A517" t="s">
        <v>173</v>
      </c>
      <c r="D517" t="s">
        <v>173</v>
      </c>
      <c r="H517" t="s">
        <v>173</v>
      </c>
      <c r="L517" t="s">
        <v>173</v>
      </c>
      <c r="P517" t="s">
        <v>173</v>
      </c>
      <c r="T517" t="s">
        <v>173</v>
      </c>
    </row>
    <row r="518" spans="1:20" x14ac:dyDescent="0.25">
      <c r="A518" t="s">
        <v>174</v>
      </c>
      <c r="D518" t="s">
        <v>174</v>
      </c>
      <c r="H518" t="s">
        <v>174</v>
      </c>
      <c r="L518" t="s">
        <v>174</v>
      </c>
      <c r="P518" t="s">
        <v>174</v>
      </c>
      <c r="T518" t="s">
        <v>174</v>
      </c>
    </row>
    <row r="519" spans="1:20" x14ac:dyDescent="0.25">
      <c r="A519" t="s">
        <v>175</v>
      </c>
      <c r="D519" t="s">
        <v>175</v>
      </c>
      <c r="H519" t="s">
        <v>175</v>
      </c>
      <c r="L519" t="s">
        <v>175</v>
      </c>
      <c r="P519" t="s">
        <v>175</v>
      </c>
      <c r="T519" t="s">
        <v>175</v>
      </c>
    </row>
    <row r="520" spans="1:20" x14ac:dyDescent="0.25">
      <c r="A520" t="s">
        <v>176</v>
      </c>
      <c r="D520" t="s">
        <v>176</v>
      </c>
      <c r="H520" t="s">
        <v>176</v>
      </c>
      <c r="L520" t="s">
        <v>176</v>
      </c>
      <c r="P520" t="s">
        <v>176</v>
      </c>
      <c r="T520" t="s">
        <v>176</v>
      </c>
    </row>
    <row r="521" spans="1:20" x14ac:dyDescent="0.25">
      <c r="A521" t="s">
        <v>177</v>
      </c>
      <c r="D521" t="s">
        <v>177</v>
      </c>
      <c r="H521" t="s">
        <v>177</v>
      </c>
      <c r="L521" t="s">
        <v>177</v>
      </c>
      <c r="P521" t="s">
        <v>177</v>
      </c>
      <c r="T521" t="s">
        <v>177</v>
      </c>
    </row>
    <row r="522" spans="1:20" x14ac:dyDescent="0.25">
      <c r="A522" t="s">
        <v>178</v>
      </c>
      <c r="D522" t="s">
        <v>178</v>
      </c>
      <c r="H522" t="s">
        <v>178</v>
      </c>
      <c r="L522" t="s">
        <v>178</v>
      </c>
      <c r="P522" t="s">
        <v>178</v>
      </c>
      <c r="T522" t="s">
        <v>178</v>
      </c>
    </row>
    <row r="523" spans="1:20" x14ac:dyDescent="0.25">
      <c r="A523" t="s">
        <v>179</v>
      </c>
      <c r="D523" t="s">
        <v>179</v>
      </c>
      <c r="H523" t="s">
        <v>179</v>
      </c>
      <c r="L523" t="s">
        <v>179</v>
      </c>
      <c r="P523" t="s">
        <v>179</v>
      </c>
      <c r="T523" t="s">
        <v>179</v>
      </c>
    </row>
    <row r="524" spans="1:20" x14ac:dyDescent="0.25">
      <c r="A524" t="s">
        <v>180</v>
      </c>
      <c r="D524" t="s">
        <v>180</v>
      </c>
      <c r="H524" t="s">
        <v>180</v>
      </c>
      <c r="L524" t="s">
        <v>180</v>
      </c>
      <c r="P524" t="s">
        <v>180</v>
      </c>
      <c r="T524" t="s">
        <v>180</v>
      </c>
    </row>
    <row r="525" spans="1:20" x14ac:dyDescent="0.25">
      <c r="A525" t="s">
        <v>181</v>
      </c>
      <c r="D525" t="s">
        <v>181</v>
      </c>
      <c r="H525" t="s">
        <v>181</v>
      </c>
      <c r="L525" t="s">
        <v>181</v>
      </c>
      <c r="P525" t="s">
        <v>181</v>
      </c>
      <c r="T525" t="s">
        <v>181</v>
      </c>
    </row>
    <row r="526" spans="1:20" x14ac:dyDescent="0.25">
      <c r="A526" t="s">
        <v>182</v>
      </c>
      <c r="D526" t="s">
        <v>182</v>
      </c>
      <c r="H526" t="s">
        <v>182</v>
      </c>
      <c r="L526" t="s">
        <v>182</v>
      </c>
      <c r="P526" t="s">
        <v>182</v>
      </c>
      <c r="T526" t="s">
        <v>182</v>
      </c>
    </row>
    <row r="527" spans="1:20" x14ac:dyDescent="0.25">
      <c r="A527" t="s">
        <v>183</v>
      </c>
      <c r="D527" t="s">
        <v>183</v>
      </c>
      <c r="H527" t="s">
        <v>183</v>
      </c>
      <c r="L527" t="s">
        <v>183</v>
      </c>
      <c r="P527" t="s">
        <v>183</v>
      </c>
      <c r="T527" t="s">
        <v>183</v>
      </c>
    </row>
    <row r="528" spans="1:20" x14ac:dyDescent="0.25">
      <c r="A528" t="s">
        <v>184</v>
      </c>
      <c r="D528" t="s">
        <v>184</v>
      </c>
      <c r="H528" t="s">
        <v>184</v>
      </c>
      <c r="L528" t="s">
        <v>184</v>
      </c>
      <c r="P528" t="s">
        <v>184</v>
      </c>
      <c r="T528" t="s">
        <v>184</v>
      </c>
    </row>
    <row r="529" spans="1:20" x14ac:dyDescent="0.25">
      <c r="A529" t="s">
        <v>185</v>
      </c>
      <c r="D529" t="s">
        <v>185</v>
      </c>
      <c r="H529" t="s">
        <v>185</v>
      </c>
      <c r="L529" t="s">
        <v>185</v>
      </c>
      <c r="P529" t="s">
        <v>185</v>
      </c>
      <c r="T529" t="s">
        <v>185</v>
      </c>
    </row>
    <row r="530" spans="1:20" x14ac:dyDescent="0.25">
      <c r="A530" t="s">
        <v>186</v>
      </c>
      <c r="D530" t="s">
        <v>186</v>
      </c>
      <c r="H530" t="s">
        <v>186</v>
      </c>
      <c r="L530" t="s">
        <v>186</v>
      </c>
      <c r="P530" t="s">
        <v>186</v>
      </c>
      <c r="T530" t="s">
        <v>186</v>
      </c>
    </row>
    <row r="531" spans="1:20" x14ac:dyDescent="0.25">
      <c r="A531" t="s">
        <v>10</v>
      </c>
      <c r="D531" t="s">
        <v>10</v>
      </c>
      <c r="H531" t="s">
        <v>10</v>
      </c>
      <c r="L531" t="s">
        <v>10</v>
      </c>
      <c r="P531" t="s">
        <v>10</v>
      </c>
      <c r="T531" t="s">
        <v>10</v>
      </c>
    </row>
    <row r="532" spans="1:20" x14ac:dyDescent="0.25">
      <c r="A532" t="s">
        <v>11</v>
      </c>
      <c r="D532" t="s">
        <v>11</v>
      </c>
      <c r="H532" t="s">
        <v>11</v>
      </c>
      <c r="L532" t="s">
        <v>11</v>
      </c>
      <c r="P532" t="s">
        <v>11</v>
      </c>
      <c r="T532" t="s">
        <v>11</v>
      </c>
    </row>
    <row r="533" spans="1:20" x14ac:dyDescent="0.25">
      <c r="A533" t="s">
        <v>12</v>
      </c>
      <c r="D533" t="s">
        <v>12</v>
      </c>
      <c r="H533" t="s">
        <v>12</v>
      </c>
      <c r="L533" t="s">
        <v>12</v>
      </c>
      <c r="P533" t="s">
        <v>12</v>
      </c>
      <c r="T533" t="s">
        <v>12</v>
      </c>
    </row>
    <row r="534" spans="1:20" x14ac:dyDescent="0.25">
      <c r="A534" t="s">
        <v>13</v>
      </c>
      <c r="D534" t="s">
        <v>13</v>
      </c>
      <c r="H534" t="s">
        <v>13</v>
      </c>
      <c r="L534" t="s">
        <v>13</v>
      </c>
      <c r="P534" t="s">
        <v>13</v>
      </c>
      <c r="T534" t="s">
        <v>13</v>
      </c>
    </row>
    <row r="535" spans="1:20" x14ac:dyDescent="0.25">
      <c r="A535" t="s">
        <v>10</v>
      </c>
      <c r="D535" t="s">
        <v>10</v>
      </c>
      <c r="H535" t="s">
        <v>10</v>
      </c>
      <c r="L535" t="s">
        <v>10</v>
      </c>
      <c r="P535" t="s">
        <v>10</v>
      </c>
      <c r="T535" t="s">
        <v>10</v>
      </c>
    </row>
    <row r="536" spans="1:20" x14ac:dyDescent="0.25">
      <c r="A536" t="s">
        <v>11</v>
      </c>
      <c r="D536" t="s">
        <v>11</v>
      </c>
      <c r="H536" t="s">
        <v>11</v>
      </c>
      <c r="L536" t="s">
        <v>11</v>
      </c>
      <c r="P536" t="s">
        <v>11</v>
      </c>
      <c r="T536" t="s">
        <v>11</v>
      </c>
    </row>
    <row r="537" spans="1:20" x14ac:dyDescent="0.25">
      <c r="A537" t="s">
        <v>12</v>
      </c>
      <c r="D537" t="s">
        <v>12</v>
      </c>
      <c r="H537" t="s">
        <v>12</v>
      </c>
      <c r="L537" t="s">
        <v>12</v>
      </c>
      <c r="P537" t="s">
        <v>12</v>
      </c>
      <c r="T537" t="s">
        <v>12</v>
      </c>
    </row>
    <row r="538" spans="1:20" x14ac:dyDescent="0.25">
      <c r="A538" t="s">
        <v>13</v>
      </c>
      <c r="D538" t="s">
        <v>13</v>
      </c>
      <c r="H538" t="s">
        <v>13</v>
      </c>
      <c r="L538" t="s">
        <v>13</v>
      </c>
      <c r="P538" t="s">
        <v>13</v>
      </c>
      <c r="T538" t="s">
        <v>13</v>
      </c>
    </row>
    <row r="539" spans="1:20" x14ac:dyDescent="0.25">
      <c r="A539" t="s">
        <v>25</v>
      </c>
      <c r="D539" t="s">
        <v>25</v>
      </c>
      <c r="H539" t="s">
        <v>25</v>
      </c>
      <c r="L539" t="s">
        <v>25</v>
      </c>
      <c r="P539" t="s">
        <v>25</v>
      </c>
      <c r="T539" t="s">
        <v>25</v>
      </c>
    </row>
    <row r="540" spans="1:20" x14ac:dyDescent="0.25">
      <c r="A540" t="s">
        <v>26</v>
      </c>
      <c r="D540" t="s">
        <v>26</v>
      </c>
      <c r="H540" t="s">
        <v>26</v>
      </c>
      <c r="L540" t="s">
        <v>26</v>
      </c>
      <c r="P540" t="s">
        <v>26</v>
      </c>
      <c r="T540" t="s">
        <v>26</v>
      </c>
    </row>
    <row r="541" spans="1:20" x14ac:dyDescent="0.25">
      <c r="A541" t="s">
        <v>12</v>
      </c>
      <c r="D541" t="s">
        <v>12</v>
      </c>
      <c r="H541" t="s">
        <v>12</v>
      </c>
      <c r="L541" t="s">
        <v>12</v>
      </c>
      <c r="P541" t="s">
        <v>12</v>
      </c>
      <c r="T541" t="s">
        <v>12</v>
      </c>
    </row>
    <row r="542" spans="1:20" x14ac:dyDescent="0.25">
      <c r="A542" t="s">
        <v>13</v>
      </c>
      <c r="D542" t="s">
        <v>13</v>
      </c>
      <c r="H542" t="s">
        <v>13</v>
      </c>
      <c r="L542" t="s">
        <v>13</v>
      </c>
      <c r="P542" t="s">
        <v>13</v>
      </c>
      <c r="T542" t="s">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Q542"/>
  <sheetViews>
    <sheetView topLeftCell="A13" workbookViewId="0">
      <selection activeCell="E21" sqref="E21"/>
    </sheetView>
  </sheetViews>
  <sheetFormatPr defaultRowHeight="15" x14ac:dyDescent="0.25"/>
  <cols>
    <col min="1" max="1" width="12.85546875" customWidth="1"/>
    <col min="2" max="2" width="14.7109375" bestFit="1" customWidth="1"/>
    <col min="4" max="4" width="12" customWidth="1"/>
    <col min="5" max="5" width="11.85546875" bestFit="1" customWidth="1"/>
    <col min="6" max="7" width="10" bestFit="1" customWidth="1"/>
  </cols>
  <sheetData>
    <row r="1" spans="1:36" x14ac:dyDescent="0.25">
      <c r="A1" t="s">
        <v>0</v>
      </c>
    </row>
    <row r="2" spans="1:36" x14ac:dyDescent="0.25">
      <c r="D2" t="s">
        <v>815</v>
      </c>
    </row>
    <row r="3" spans="1:36" x14ac:dyDescent="0.25">
      <c r="A3" s="1" t="s">
        <v>761</v>
      </c>
      <c r="B3" s="1">
        <v>42836</v>
      </c>
    </row>
    <row r="4" spans="1:36" x14ac:dyDescent="0.25">
      <c r="A4" t="s">
        <v>762</v>
      </c>
      <c r="B4" s="3">
        <v>0.68055555555555547</v>
      </c>
      <c r="D4" t="s">
        <v>759</v>
      </c>
    </row>
    <row r="5" spans="1:36" x14ac:dyDescent="0.25">
      <c r="A5" t="s">
        <v>763</v>
      </c>
      <c r="B5" s="3">
        <v>0.69652777777777775</v>
      </c>
      <c r="D5" t="s">
        <v>760</v>
      </c>
      <c r="E5" s="2"/>
    </row>
    <row r="8" spans="1:36" x14ac:dyDescent="0.25">
      <c r="A8" t="s">
        <v>1</v>
      </c>
      <c r="I8" t="s">
        <v>187</v>
      </c>
      <c r="R8" t="s">
        <v>299</v>
      </c>
      <c r="AA8" t="s">
        <v>415</v>
      </c>
      <c r="AJ8" t="s">
        <v>533</v>
      </c>
    </row>
    <row r="9" spans="1:36" x14ac:dyDescent="0.25">
      <c r="A9" t="s">
        <v>2</v>
      </c>
      <c r="I9" t="s">
        <v>2</v>
      </c>
      <c r="R9" t="s">
        <v>2</v>
      </c>
      <c r="AA9" t="s">
        <v>2</v>
      </c>
      <c r="AJ9" t="s">
        <v>2</v>
      </c>
    </row>
    <row r="10" spans="1:36" x14ac:dyDescent="0.25">
      <c r="A10" t="s">
        <v>3</v>
      </c>
      <c r="I10" t="s">
        <v>3</v>
      </c>
      <c r="R10" t="s">
        <v>3</v>
      </c>
      <c r="AA10" t="s">
        <v>3</v>
      </c>
      <c r="AJ10" t="s">
        <v>3</v>
      </c>
    </row>
    <row r="11" spans="1:36" x14ac:dyDescent="0.25">
      <c r="A11" t="s">
        <v>4</v>
      </c>
      <c r="I11" t="s">
        <v>4</v>
      </c>
      <c r="R11" t="s">
        <v>4</v>
      </c>
      <c r="AA11" t="s">
        <v>4</v>
      </c>
      <c r="AJ11" t="s">
        <v>4</v>
      </c>
    </row>
    <row r="12" spans="1:36" x14ac:dyDescent="0.25">
      <c r="A12" t="s">
        <v>5</v>
      </c>
      <c r="I12" t="s">
        <v>5</v>
      </c>
      <c r="R12" t="s">
        <v>5</v>
      </c>
      <c r="AA12" t="s">
        <v>5</v>
      </c>
      <c r="AJ12" t="s">
        <v>5</v>
      </c>
    </row>
    <row r="13" spans="1:36" x14ac:dyDescent="0.25">
      <c r="A13" t="s">
        <v>6</v>
      </c>
      <c r="I13" t="s">
        <v>6</v>
      </c>
      <c r="R13" t="s">
        <v>6</v>
      </c>
      <c r="AA13" t="s">
        <v>6</v>
      </c>
      <c r="AJ13" t="s">
        <v>6</v>
      </c>
    </row>
    <row r="14" spans="1:36" x14ac:dyDescent="0.25">
      <c r="A14" t="s">
        <v>7</v>
      </c>
      <c r="I14" t="s">
        <v>7</v>
      </c>
      <c r="R14" t="s">
        <v>7</v>
      </c>
      <c r="AA14" t="s">
        <v>7</v>
      </c>
      <c r="AJ14" t="s">
        <v>7</v>
      </c>
    </row>
    <row r="15" spans="1:36" x14ac:dyDescent="0.25">
      <c r="A15" t="s">
        <v>8</v>
      </c>
      <c r="I15" t="s">
        <v>8</v>
      </c>
      <c r="R15" t="s">
        <v>8</v>
      </c>
      <c r="AA15" t="s">
        <v>8</v>
      </c>
      <c r="AJ15" t="s">
        <v>8</v>
      </c>
    </row>
    <row r="16" spans="1:36" x14ac:dyDescent="0.25">
      <c r="A16" t="s">
        <v>9</v>
      </c>
      <c r="I16" t="s">
        <v>9</v>
      </c>
      <c r="R16" t="s">
        <v>9</v>
      </c>
      <c r="AA16" t="s">
        <v>9</v>
      </c>
      <c r="AJ16" t="s">
        <v>9</v>
      </c>
    </row>
    <row r="17" spans="1:43" x14ac:dyDescent="0.25">
      <c r="A17" t="s">
        <v>10</v>
      </c>
      <c r="I17" t="s">
        <v>10</v>
      </c>
      <c r="R17" t="s">
        <v>10</v>
      </c>
      <c r="AA17" t="s">
        <v>10</v>
      </c>
      <c r="AJ17" t="s">
        <v>10</v>
      </c>
    </row>
    <row r="18" spans="1:43" x14ac:dyDescent="0.25">
      <c r="A18" t="s">
        <v>11</v>
      </c>
      <c r="I18" t="s">
        <v>11</v>
      </c>
      <c r="R18" t="s">
        <v>11</v>
      </c>
      <c r="AA18" t="s">
        <v>11</v>
      </c>
      <c r="AJ18" t="s">
        <v>11</v>
      </c>
    </row>
    <row r="19" spans="1:43" x14ac:dyDescent="0.25">
      <c r="A19" t="s">
        <v>12</v>
      </c>
      <c r="I19" t="s">
        <v>12</v>
      </c>
      <c r="R19" t="s">
        <v>12</v>
      </c>
      <c r="AA19" t="s">
        <v>12</v>
      </c>
      <c r="AJ19" t="s">
        <v>12</v>
      </c>
    </row>
    <row r="20" spans="1:43" x14ac:dyDescent="0.25">
      <c r="A20" t="s">
        <v>13</v>
      </c>
      <c r="I20" t="s">
        <v>13</v>
      </c>
      <c r="R20" t="s">
        <v>13</v>
      </c>
      <c r="AA20" t="s">
        <v>13</v>
      </c>
      <c r="AJ20" t="s">
        <v>13</v>
      </c>
    </row>
    <row r="22" spans="1:43" x14ac:dyDescent="0.25">
      <c r="A22" t="s">
        <v>14</v>
      </c>
      <c r="I22" t="s">
        <v>14</v>
      </c>
      <c r="R22" t="s">
        <v>14</v>
      </c>
      <c r="AA22" t="s">
        <v>14</v>
      </c>
      <c r="AJ22" t="s">
        <v>14</v>
      </c>
    </row>
    <row r="23" spans="1:43" x14ac:dyDescent="0.25">
      <c r="A23" t="s">
        <v>15</v>
      </c>
      <c r="D23" t="s">
        <v>2670</v>
      </c>
      <c r="E23" t="s">
        <v>2671</v>
      </c>
      <c r="F23" t="s">
        <v>2672</v>
      </c>
      <c r="G23" t="s">
        <v>2673</v>
      </c>
      <c r="I23" t="s">
        <v>15</v>
      </c>
      <c r="M23" t="s">
        <v>2670</v>
      </c>
      <c r="N23" t="s">
        <v>2671</v>
      </c>
      <c r="O23" t="s">
        <v>2672</v>
      </c>
      <c r="P23" t="s">
        <v>2673</v>
      </c>
      <c r="R23" t="s">
        <v>15</v>
      </c>
      <c r="V23" t="s">
        <v>2670</v>
      </c>
      <c r="W23" t="s">
        <v>2671</v>
      </c>
      <c r="X23" t="s">
        <v>2672</v>
      </c>
      <c r="Y23" t="s">
        <v>2673</v>
      </c>
      <c r="AA23" t="s">
        <v>15</v>
      </c>
      <c r="AE23" t="s">
        <v>2670</v>
      </c>
      <c r="AF23" t="s">
        <v>2671</v>
      </c>
      <c r="AG23" t="s">
        <v>2672</v>
      </c>
      <c r="AH23" t="s">
        <v>2673</v>
      </c>
      <c r="AJ23" t="s">
        <v>15</v>
      </c>
      <c r="AN23" t="s">
        <v>2670</v>
      </c>
      <c r="AO23" t="s">
        <v>2671</v>
      </c>
      <c r="AP23" t="s">
        <v>2672</v>
      </c>
      <c r="AQ23" t="s">
        <v>2673</v>
      </c>
    </row>
    <row r="24" spans="1:43" x14ac:dyDescent="0.25">
      <c r="A24" t="s">
        <v>2674</v>
      </c>
      <c r="D24" s="11">
        <v>8930</v>
      </c>
      <c r="E24" s="11" t="s">
        <v>2675</v>
      </c>
      <c r="F24">
        <f>HEX2DEC(D24)-HEX2DEC(8000)</f>
        <v>2352</v>
      </c>
      <c r="G24">
        <f>HEX2DEC(E24)</f>
        <v>2883</v>
      </c>
      <c r="I24" t="s">
        <v>188</v>
      </c>
      <c r="M24" s="11">
        <v>8949</v>
      </c>
      <c r="N24" s="11" t="s">
        <v>2689</v>
      </c>
      <c r="O24">
        <f>HEX2DEC(M24)-HEX2DEC(8000)</f>
        <v>2377</v>
      </c>
      <c r="P24">
        <f>HEX2DEC(N24)</f>
        <v>2850</v>
      </c>
      <c r="R24" t="s">
        <v>300</v>
      </c>
      <c r="V24" s="11" t="s">
        <v>2700</v>
      </c>
      <c r="W24" s="11" t="s">
        <v>2701</v>
      </c>
      <c r="X24">
        <f>HEX2DEC(V24)-HEX2DEC(8000)</f>
        <v>2395</v>
      </c>
      <c r="Y24">
        <f>HEX2DEC(W24)</f>
        <v>2828</v>
      </c>
      <c r="AA24" t="s">
        <v>416</v>
      </c>
      <c r="AE24" s="11">
        <v>8975</v>
      </c>
      <c r="AF24" s="11" t="s">
        <v>2711</v>
      </c>
      <c r="AG24">
        <f>HEX2DEC(AE24)-HEX2DEC(8000)</f>
        <v>2421</v>
      </c>
      <c r="AH24">
        <f>HEX2DEC(AF24)</f>
        <v>2796</v>
      </c>
      <c r="AJ24" t="s">
        <v>534</v>
      </c>
      <c r="AN24" s="11">
        <v>8989</v>
      </c>
      <c r="AO24" s="11" t="s">
        <v>2723</v>
      </c>
      <c r="AP24">
        <f>HEX2DEC(AN24)-HEX2DEC(8000)</f>
        <v>2441</v>
      </c>
      <c r="AQ24">
        <f>HEX2DEC(AO24)</f>
        <v>2771</v>
      </c>
    </row>
    <row r="25" spans="1:43" x14ac:dyDescent="0.25">
      <c r="A25" t="s">
        <v>16</v>
      </c>
      <c r="I25" t="s">
        <v>16</v>
      </c>
      <c r="R25" t="s">
        <v>16</v>
      </c>
      <c r="AA25" t="s">
        <v>16</v>
      </c>
      <c r="AJ25" t="s">
        <v>16</v>
      </c>
    </row>
    <row r="26" spans="1:43" x14ac:dyDescent="0.25">
      <c r="A26" t="s">
        <v>17</v>
      </c>
      <c r="D26" s="11" t="s">
        <v>2676</v>
      </c>
      <c r="E26" s="11" t="s">
        <v>2677</v>
      </c>
      <c r="F26">
        <f>HEX2DEC(D26)-HEX2DEC(800000)</f>
        <v>576672</v>
      </c>
      <c r="G26">
        <f>(HEX2DEC(E26)-HEX2DEC(8000))*2^6</f>
        <v>576704</v>
      </c>
      <c r="I26" t="s">
        <v>189</v>
      </c>
      <c r="M26" s="11" t="s">
        <v>2690</v>
      </c>
      <c r="N26" s="11" t="s">
        <v>2691</v>
      </c>
      <c r="O26">
        <f>HEX2DEC(M26)-HEX2DEC(800000)</f>
        <v>570094</v>
      </c>
      <c r="P26">
        <f>(HEX2DEC(N26)-HEX2DEC(8000))*2^6</f>
        <v>570112</v>
      </c>
      <c r="R26" t="s">
        <v>301</v>
      </c>
      <c r="V26" s="11" t="s">
        <v>2702</v>
      </c>
      <c r="W26" s="11" t="s">
        <v>2703</v>
      </c>
      <c r="X26">
        <f>HEX2DEC(V26)-HEX2DEC(800000)</f>
        <v>565687</v>
      </c>
      <c r="Y26">
        <f>(HEX2DEC(W26)-HEX2DEC(8000))*2^6</f>
        <v>565696</v>
      </c>
      <c r="AA26" t="s">
        <v>417</v>
      </c>
      <c r="AE26" s="11">
        <v>888892</v>
      </c>
      <c r="AF26" s="11" t="s">
        <v>2712</v>
      </c>
      <c r="AG26">
        <f>HEX2DEC(AE26)-HEX2DEC(800000)</f>
        <v>559250</v>
      </c>
      <c r="AH26">
        <f>(HEX2DEC(AF26)-HEX2DEC(8000))*2^6</f>
        <v>559232</v>
      </c>
      <c r="AJ26" t="s">
        <v>535</v>
      </c>
      <c r="AN26" s="11">
        <v>887539</v>
      </c>
      <c r="AO26" s="11" t="s">
        <v>2724</v>
      </c>
      <c r="AP26">
        <f>HEX2DEC(AN26)-HEX2DEC(800000)</f>
        <v>554297</v>
      </c>
      <c r="AQ26">
        <f>(HEX2DEC(AO26)-HEX2DEC(8000))*2^6</f>
        <v>554304</v>
      </c>
    </row>
    <row r="27" spans="1:43" x14ac:dyDescent="0.25">
      <c r="A27" t="s">
        <v>18</v>
      </c>
      <c r="I27" t="s">
        <v>18</v>
      </c>
      <c r="R27" t="s">
        <v>18</v>
      </c>
      <c r="AA27" t="s">
        <v>18</v>
      </c>
      <c r="AJ27" t="s">
        <v>18</v>
      </c>
    </row>
    <row r="28" spans="1:43" x14ac:dyDescent="0.25">
      <c r="A28" t="s">
        <v>19</v>
      </c>
      <c r="D28" t="s">
        <v>2678</v>
      </c>
      <c r="E28" t="s">
        <v>2679</v>
      </c>
      <c r="F28">
        <f>HEX2DEC(D28)-HEX2DEC(800000)</f>
        <v>100000</v>
      </c>
      <c r="G28">
        <f>(HEX2DEC(E28)-HEX2DEC(8000))*2^6</f>
        <v>100032</v>
      </c>
      <c r="I28" t="s">
        <v>19</v>
      </c>
      <c r="M28" t="s">
        <v>2678</v>
      </c>
      <c r="N28" t="s">
        <v>2679</v>
      </c>
      <c r="O28">
        <f>HEX2DEC(M28)-HEX2DEC(800000)</f>
        <v>100000</v>
      </c>
      <c r="P28">
        <f>(HEX2DEC(N28)-HEX2DEC(8000))*2^6</f>
        <v>100032</v>
      </c>
      <c r="R28" t="s">
        <v>19</v>
      </c>
      <c r="V28" t="s">
        <v>2678</v>
      </c>
      <c r="W28" t="s">
        <v>2679</v>
      </c>
      <c r="X28">
        <f>HEX2DEC(V28)-HEX2DEC(800000)</f>
        <v>100000</v>
      </c>
      <c r="Y28">
        <f>(HEX2DEC(W28)-HEX2DEC(8000))*2^6</f>
        <v>100032</v>
      </c>
      <c r="AA28" t="s">
        <v>19</v>
      </c>
      <c r="AE28" t="s">
        <v>2678</v>
      </c>
      <c r="AF28" t="s">
        <v>2679</v>
      </c>
      <c r="AG28">
        <f>HEX2DEC(AE28)-HEX2DEC(800000)</f>
        <v>100000</v>
      </c>
      <c r="AH28">
        <f>(HEX2DEC(AF28)-HEX2DEC(8000))*2^6</f>
        <v>100032</v>
      </c>
      <c r="AJ28" t="s">
        <v>19</v>
      </c>
      <c r="AN28" t="s">
        <v>2678</v>
      </c>
      <c r="AO28" t="s">
        <v>2679</v>
      </c>
      <c r="AP28">
        <f>HEX2DEC(AN28)-HEX2DEC(800000)</f>
        <v>100000</v>
      </c>
      <c r="AQ28">
        <f>(HEX2DEC(AO28)-HEX2DEC(8000))*2^6</f>
        <v>100032</v>
      </c>
    </row>
    <row r="29" spans="1:43" x14ac:dyDescent="0.25">
      <c r="A29" t="s">
        <v>20</v>
      </c>
      <c r="I29" t="s">
        <v>20</v>
      </c>
      <c r="R29" t="s">
        <v>20</v>
      </c>
      <c r="AA29" t="s">
        <v>20</v>
      </c>
      <c r="AJ29" t="s">
        <v>20</v>
      </c>
    </row>
    <row r="30" spans="1:43" x14ac:dyDescent="0.25">
      <c r="A30" t="s">
        <v>21</v>
      </c>
      <c r="D30">
        <v>8000</v>
      </c>
      <c r="E30" t="s">
        <v>2680</v>
      </c>
      <c r="F30">
        <f>HEX2DEC(D30)-HEX2DEC(8000)</f>
        <v>0</v>
      </c>
      <c r="G30">
        <f>HEX2DEC(E30)</f>
        <v>3493</v>
      </c>
      <c r="I30" t="s">
        <v>190</v>
      </c>
      <c r="M30">
        <v>8000</v>
      </c>
      <c r="N30" t="s">
        <v>2692</v>
      </c>
      <c r="O30">
        <f>HEX2DEC(M30)-HEX2DEC(8000)</f>
        <v>0</v>
      </c>
      <c r="P30">
        <f>HEX2DEC(N30)</f>
        <v>3566</v>
      </c>
      <c r="R30" t="s">
        <v>302</v>
      </c>
      <c r="V30">
        <v>8000</v>
      </c>
      <c r="W30" t="s">
        <v>2704</v>
      </c>
      <c r="X30">
        <f>HEX2DEC(V30)-HEX2DEC(8000)</f>
        <v>0</v>
      </c>
      <c r="Y30">
        <f>HEX2DEC(W30)</f>
        <v>4040</v>
      </c>
      <c r="AA30" t="s">
        <v>418</v>
      </c>
      <c r="AE30" t="s">
        <v>2713</v>
      </c>
      <c r="AF30">
        <v>1737</v>
      </c>
      <c r="AG30">
        <f>HEX2DEC(AE30)-HEX2DEC(8000)</f>
        <v>95</v>
      </c>
      <c r="AH30">
        <f>HEX2DEC(AF30)</f>
        <v>5943</v>
      </c>
      <c r="AJ30" t="s">
        <v>536</v>
      </c>
      <c r="AN30" s="12" t="s">
        <v>2725</v>
      </c>
      <c r="AO30">
        <v>3947</v>
      </c>
      <c r="AP30">
        <f>HEX2DEC(AN30)-HEX2DEC(8000)</f>
        <v>481</v>
      </c>
      <c r="AQ30">
        <f>HEX2DEC(AO30)</f>
        <v>14663</v>
      </c>
    </row>
    <row r="31" spans="1:43" x14ac:dyDescent="0.25">
      <c r="A31" t="s">
        <v>22</v>
      </c>
      <c r="I31" t="s">
        <v>22</v>
      </c>
      <c r="R31" t="s">
        <v>22</v>
      </c>
      <c r="AA31" t="s">
        <v>22</v>
      </c>
      <c r="AJ31" t="s">
        <v>22</v>
      </c>
    </row>
    <row r="32" spans="1:43" x14ac:dyDescent="0.25">
      <c r="A32" t="s">
        <v>23</v>
      </c>
      <c r="D32" t="s">
        <v>2681</v>
      </c>
      <c r="E32" t="s">
        <v>2682</v>
      </c>
      <c r="F32">
        <f>HEX2DEC(D32)-HEX2DEC(800000)</f>
        <v>200767</v>
      </c>
      <c r="G32">
        <f>(HEX2DEC(E32)-HEX2DEC(8000))*2^6</f>
        <v>200768</v>
      </c>
      <c r="I32" t="s">
        <v>191</v>
      </c>
      <c r="M32">
        <v>831088</v>
      </c>
      <c r="N32" t="s">
        <v>2693</v>
      </c>
      <c r="O32">
        <f>HEX2DEC(M32)-HEX2DEC(800000)</f>
        <v>200840</v>
      </c>
      <c r="P32">
        <f>(HEX2DEC(N32)-HEX2DEC(8000))*2^6</f>
        <v>200832</v>
      </c>
      <c r="R32" t="s">
        <v>303</v>
      </c>
      <c r="V32">
        <v>831262</v>
      </c>
      <c r="W32" t="s">
        <v>2705</v>
      </c>
      <c r="X32">
        <f>HEX2DEC(V32)-HEX2DEC(800000)</f>
        <v>201314</v>
      </c>
      <c r="Y32">
        <f>(HEX2DEC(W32)-HEX2DEC(8000))*2^6</f>
        <v>201344</v>
      </c>
      <c r="AA32" t="s">
        <v>419</v>
      </c>
      <c r="AE32" t="s">
        <v>2714</v>
      </c>
      <c r="AF32" t="s">
        <v>2715</v>
      </c>
      <c r="AG32">
        <f>HEX2DEC(AE32)-HEX2DEC(800000)</f>
        <v>203216</v>
      </c>
      <c r="AH32">
        <f>(HEX2DEC(AF32)-HEX2DEC(8000))*2^6</f>
        <v>203200</v>
      </c>
      <c r="AJ32" t="s">
        <v>537</v>
      </c>
      <c r="AN32" t="s">
        <v>2726</v>
      </c>
      <c r="AO32" t="s">
        <v>2727</v>
      </c>
      <c r="AP32">
        <f>HEX2DEC(AN32)-HEX2DEC(800000)</f>
        <v>211932</v>
      </c>
      <c r="AQ32">
        <f>(HEX2DEC(AO32)-HEX2DEC(8000))*2^6</f>
        <v>211904</v>
      </c>
    </row>
    <row r="33" spans="1:43" x14ac:dyDescent="0.25">
      <c r="A33" t="s">
        <v>24</v>
      </c>
      <c r="I33" t="s">
        <v>24</v>
      </c>
      <c r="R33" t="s">
        <v>24</v>
      </c>
      <c r="AA33" t="s">
        <v>24</v>
      </c>
      <c r="AJ33" t="s">
        <v>24</v>
      </c>
    </row>
    <row r="34" spans="1:43" x14ac:dyDescent="0.25">
      <c r="A34" t="s">
        <v>25</v>
      </c>
      <c r="I34" t="s">
        <v>25</v>
      </c>
      <c r="R34" t="s">
        <v>25</v>
      </c>
      <c r="AA34" t="s">
        <v>25</v>
      </c>
      <c r="AJ34" t="s">
        <v>25</v>
      </c>
    </row>
    <row r="35" spans="1:43" x14ac:dyDescent="0.25">
      <c r="A35" t="s">
        <v>26</v>
      </c>
      <c r="I35" t="s">
        <v>26</v>
      </c>
      <c r="R35" t="s">
        <v>26</v>
      </c>
      <c r="AA35" t="s">
        <v>26</v>
      </c>
      <c r="AJ35" t="s">
        <v>26</v>
      </c>
    </row>
    <row r="37" spans="1:43" x14ac:dyDescent="0.25">
      <c r="A37" t="s">
        <v>8</v>
      </c>
      <c r="I37" t="s">
        <v>8</v>
      </c>
      <c r="R37" t="s">
        <v>8</v>
      </c>
      <c r="AA37" t="s">
        <v>8</v>
      </c>
      <c r="AJ37" t="s">
        <v>8</v>
      </c>
    </row>
    <row r="38" spans="1:43" x14ac:dyDescent="0.25">
      <c r="A38" t="s">
        <v>9</v>
      </c>
      <c r="D38" t="s">
        <v>2670</v>
      </c>
      <c r="E38" t="s">
        <v>2671</v>
      </c>
      <c r="F38" t="s">
        <v>2672</v>
      </c>
      <c r="G38" t="s">
        <v>2673</v>
      </c>
      <c r="I38" t="s">
        <v>9</v>
      </c>
      <c r="M38" t="s">
        <v>2670</v>
      </c>
      <c r="N38" t="s">
        <v>2671</v>
      </c>
      <c r="O38" t="s">
        <v>2672</v>
      </c>
      <c r="P38" t="s">
        <v>2673</v>
      </c>
      <c r="R38" t="s">
        <v>9</v>
      </c>
      <c r="V38" t="s">
        <v>2670</v>
      </c>
      <c r="W38" t="s">
        <v>2671</v>
      </c>
      <c r="X38" t="s">
        <v>2672</v>
      </c>
      <c r="Y38" t="s">
        <v>2673</v>
      </c>
      <c r="AA38" t="s">
        <v>9</v>
      </c>
      <c r="AE38" t="s">
        <v>2670</v>
      </c>
      <c r="AF38" t="s">
        <v>2671</v>
      </c>
      <c r="AG38" t="s">
        <v>2672</v>
      </c>
      <c r="AH38" t="s">
        <v>2673</v>
      </c>
      <c r="AJ38" t="s">
        <v>9</v>
      </c>
      <c r="AN38" t="s">
        <v>2670</v>
      </c>
      <c r="AO38" t="s">
        <v>2671</v>
      </c>
      <c r="AP38" t="s">
        <v>2672</v>
      </c>
      <c r="AQ38" t="s">
        <v>2673</v>
      </c>
    </row>
    <row r="39" spans="1:43" x14ac:dyDescent="0.25">
      <c r="A39" t="s">
        <v>27</v>
      </c>
      <c r="D39" t="s">
        <v>2683</v>
      </c>
      <c r="E39" t="s">
        <v>2684</v>
      </c>
      <c r="F39">
        <f>HEX2DEC(D39)-HEX2DEC(8000)</f>
        <v>2351</v>
      </c>
      <c r="G39">
        <f>HEX2DEC(E39)</f>
        <v>2884</v>
      </c>
      <c r="I39" t="s">
        <v>192</v>
      </c>
      <c r="M39">
        <v>8947</v>
      </c>
      <c r="N39" t="s">
        <v>2694</v>
      </c>
      <c r="O39">
        <f>HEX2DEC(M39)-HEX2DEC(8000)</f>
        <v>2375</v>
      </c>
      <c r="P39">
        <f>HEX2DEC(N39)</f>
        <v>2853</v>
      </c>
      <c r="R39" t="s">
        <v>304</v>
      </c>
      <c r="V39">
        <v>8959</v>
      </c>
      <c r="W39" t="s">
        <v>2706</v>
      </c>
      <c r="X39">
        <f>HEX2DEC(V39)-HEX2DEC(8000)</f>
        <v>2393</v>
      </c>
      <c r="Y39">
        <f>HEX2DEC(W39)</f>
        <v>2830</v>
      </c>
      <c r="AA39" t="s">
        <v>420</v>
      </c>
      <c r="AE39">
        <v>8973</v>
      </c>
      <c r="AF39" t="s">
        <v>2716</v>
      </c>
      <c r="AG39">
        <f>HEX2DEC(AE39)-HEX2DEC(8000)</f>
        <v>2419</v>
      </c>
      <c r="AH39">
        <f>HEX2DEC(AF39)</f>
        <v>2798</v>
      </c>
      <c r="AJ39" t="s">
        <v>538</v>
      </c>
      <c r="AN39">
        <v>8988</v>
      </c>
      <c r="AO39" t="s">
        <v>2728</v>
      </c>
      <c r="AP39">
        <f>HEX2DEC(AN39)-HEX2DEC(8000)</f>
        <v>2440</v>
      </c>
      <c r="AQ39">
        <f>HEX2DEC(AO39)</f>
        <v>2772</v>
      </c>
    </row>
    <row r="40" spans="1:43" x14ac:dyDescent="0.25">
      <c r="A40" t="s">
        <v>28</v>
      </c>
      <c r="I40" t="s">
        <v>28</v>
      </c>
      <c r="R40" t="s">
        <v>28</v>
      </c>
      <c r="AA40" t="s">
        <v>28</v>
      </c>
      <c r="AJ40" t="s">
        <v>28</v>
      </c>
    </row>
    <row r="41" spans="1:43" x14ac:dyDescent="0.25">
      <c r="A41" t="s">
        <v>29</v>
      </c>
      <c r="D41" t="s">
        <v>2685</v>
      </c>
      <c r="E41" t="s">
        <v>2677</v>
      </c>
      <c r="F41">
        <f>HEX2DEC(D41)-HEX2DEC(800000)</f>
        <v>576688</v>
      </c>
      <c r="G41">
        <f>(HEX2DEC(E41)-HEX2DEC(8000))*2^6</f>
        <v>576704</v>
      </c>
      <c r="I41" t="s">
        <v>193</v>
      </c>
      <c r="M41" t="s">
        <v>2695</v>
      </c>
      <c r="N41" t="s">
        <v>2696</v>
      </c>
      <c r="O41">
        <f>HEX2DEC(M41)-HEX2DEC(800000)</f>
        <v>570406</v>
      </c>
      <c r="P41">
        <f>(HEX2DEC(N41)-HEX2DEC(8000))*2^6</f>
        <v>570432</v>
      </c>
      <c r="R41" t="s">
        <v>305</v>
      </c>
      <c r="V41" t="s">
        <v>2707</v>
      </c>
      <c r="W41" t="s">
        <v>2708</v>
      </c>
      <c r="X41">
        <f>HEX2DEC(V41)-HEX2DEC(800000)</f>
        <v>566000</v>
      </c>
      <c r="Y41">
        <f>(HEX2DEC(W41)-HEX2DEC(8000))*2^6</f>
        <v>566016</v>
      </c>
      <c r="AA41" t="s">
        <v>421</v>
      </c>
      <c r="AE41" t="s">
        <v>2717</v>
      </c>
      <c r="AF41" t="s">
        <v>2718</v>
      </c>
      <c r="AG41">
        <f>HEX2DEC(AE41)-HEX2DEC(800000)</f>
        <v>559703</v>
      </c>
      <c r="AH41">
        <f>(HEX2DEC(AF41)-HEX2DEC(8000))*2^6</f>
        <v>559680</v>
      </c>
      <c r="AJ41" t="s">
        <v>539</v>
      </c>
      <c r="AN41">
        <v>887597</v>
      </c>
      <c r="AO41" t="s">
        <v>2729</v>
      </c>
      <c r="AP41">
        <f>HEX2DEC(AN41)-HEX2DEC(800000)</f>
        <v>554391</v>
      </c>
      <c r="AQ41">
        <f>(HEX2DEC(AO41)-HEX2DEC(8000))*2^6</f>
        <v>554368</v>
      </c>
    </row>
    <row r="42" spans="1:43" x14ac:dyDescent="0.25">
      <c r="A42" t="s">
        <v>30</v>
      </c>
      <c r="I42" t="s">
        <v>30</v>
      </c>
      <c r="R42" t="s">
        <v>30</v>
      </c>
      <c r="AA42" t="s">
        <v>30</v>
      </c>
      <c r="AJ42" t="s">
        <v>30</v>
      </c>
    </row>
    <row r="43" spans="1:43" x14ac:dyDescent="0.25">
      <c r="A43" t="s">
        <v>31</v>
      </c>
      <c r="D43" t="s">
        <v>2678</v>
      </c>
      <c r="E43" t="s">
        <v>2679</v>
      </c>
      <c r="F43">
        <f>HEX2DEC(D43)-HEX2DEC(800000)</f>
        <v>100000</v>
      </c>
      <c r="G43">
        <f>(HEX2DEC(E43)-HEX2DEC(8000))*2^6</f>
        <v>100032</v>
      </c>
      <c r="I43" t="s">
        <v>31</v>
      </c>
      <c r="M43" t="s">
        <v>2678</v>
      </c>
      <c r="N43" t="s">
        <v>2679</v>
      </c>
      <c r="O43">
        <f>HEX2DEC(M43)-HEX2DEC(800000)</f>
        <v>100000</v>
      </c>
      <c r="P43">
        <f>(HEX2DEC(N43)-HEX2DEC(8000))*2^6</f>
        <v>100032</v>
      </c>
      <c r="R43" t="s">
        <v>31</v>
      </c>
      <c r="V43" t="s">
        <v>2678</v>
      </c>
      <c r="W43" t="s">
        <v>2679</v>
      </c>
      <c r="X43">
        <f>HEX2DEC(V43)-HEX2DEC(800000)</f>
        <v>100000</v>
      </c>
      <c r="Y43">
        <f>(HEX2DEC(W43)-HEX2DEC(8000))*2^6</f>
        <v>100032</v>
      </c>
      <c r="AA43" t="s">
        <v>31</v>
      </c>
      <c r="AE43" t="s">
        <v>2678</v>
      </c>
      <c r="AF43" t="s">
        <v>2679</v>
      </c>
      <c r="AG43">
        <f>HEX2DEC(AE43)-HEX2DEC(800000)</f>
        <v>100000</v>
      </c>
      <c r="AH43">
        <f>(HEX2DEC(AF43)-HEX2DEC(8000))*2^6</f>
        <v>100032</v>
      </c>
      <c r="AJ43" t="s">
        <v>31</v>
      </c>
      <c r="AN43" t="s">
        <v>2678</v>
      </c>
      <c r="AO43" t="s">
        <v>2679</v>
      </c>
      <c r="AP43">
        <f>HEX2DEC(AN43)-HEX2DEC(800000)</f>
        <v>100000</v>
      </c>
      <c r="AQ43">
        <f>(HEX2DEC(AO43)-HEX2DEC(8000))*2^6</f>
        <v>100032</v>
      </c>
    </row>
    <row r="44" spans="1:43" x14ac:dyDescent="0.25">
      <c r="A44" t="s">
        <v>32</v>
      </c>
      <c r="I44" t="s">
        <v>32</v>
      </c>
      <c r="R44" t="s">
        <v>32</v>
      </c>
      <c r="AA44" t="s">
        <v>32</v>
      </c>
      <c r="AJ44" t="s">
        <v>32</v>
      </c>
    </row>
    <row r="45" spans="1:43" x14ac:dyDescent="0.25">
      <c r="A45" t="s">
        <v>33</v>
      </c>
      <c r="D45">
        <v>8000</v>
      </c>
      <c r="E45" t="s">
        <v>2686</v>
      </c>
      <c r="F45">
        <f>HEX2DEC(D45)-HEX2DEC(8000)</f>
        <v>0</v>
      </c>
      <c r="G45">
        <f>HEX2DEC(E45)</f>
        <v>3426</v>
      </c>
      <c r="I45" t="s">
        <v>194</v>
      </c>
      <c r="M45">
        <v>8000</v>
      </c>
      <c r="N45" s="12" t="s">
        <v>2697</v>
      </c>
      <c r="O45">
        <f>HEX2DEC(M45)-HEX2DEC(8000)</f>
        <v>0</v>
      </c>
      <c r="P45">
        <f>HEX2DEC(N45)</f>
        <v>3622</v>
      </c>
      <c r="R45" t="s">
        <v>306</v>
      </c>
      <c r="V45">
        <v>8003</v>
      </c>
      <c r="W45" s="12" t="s">
        <v>2709</v>
      </c>
      <c r="X45">
        <f>HEX2DEC(V45)-HEX2DEC(8000)</f>
        <v>3</v>
      </c>
      <c r="Y45">
        <f>HEX2DEC(W45)</f>
        <v>4248</v>
      </c>
      <c r="AA45" t="s">
        <v>422</v>
      </c>
      <c r="AE45" t="s">
        <v>2719</v>
      </c>
      <c r="AF45" s="12" t="s">
        <v>2720</v>
      </c>
      <c r="AG45">
        <f>HEX2DEC(AE45)-HEX2DEC(8000)</f>
        <v>92</v>
      </c>
      <c r="AH45">
        <f>HEX2DEC(AF45)</f>
        <v>5892</v>
      </c>
      <c r="AJ45" t="s">
        <v>540</v>
      </c>
      <c r="AN45" s="12" t="s">
        <v>2730</v>
      </c>
      <c r="AO45" s="12" t="s">
        <v>2731</v>
      </c>
      <c r="AP45">
        <f>HEX2DEC(AN45)-HEX2DEC(8000)</f>
        <v>482</v>
      </c>
      <c r="AQ45">
        <f>HEX2DEC(AO45)</f>
        <v>14692</v>
      </c>
    </row>
    <row r="46" spans="1:43" x14ac:dyDescent="0.25">
      <c r="A46" t="s">
        <v>34</v>
      </c>
      <c r="I46" t="s">
        <v>34</v>
      </c>
      <c r="R46" t="s">
        <v>34</v>
      </c>
      <c r="AA46" t="s">
        <v>34</v>
      </c>
      <c r="AJ46" t="s">
        <v>34</v>
      </c>
    </row>
    <row r="47" spans="1:43" x14ac:dyDescent="0.25">
      <c r="A47" t="s">
        <v>35</v>
      </c>
      <c r="D47" t="s">
        <v>2687</v>
      </c>
      <c r="E47" t="s">
        <v>2688</v>
      </c>
      <c r="F47">
        <f>HEX2DEC(D47)-HEX2DEC(800000)</f>
        <v>200700</v>
      </c>
      <c r="G47">
        <f>(HEX2DEC(E47)-HEX2DEC(8000))*2^6</f>
        <v>200704</v>
      </c>
      <c r="I47" t="s">
        <v>195</v>
      </c>
      <c r="M47" t="s">
        <v>2698</v>
      </c>
      <c r="N47" t="s">
        <v>2699</v>
      </c>
      <c r="O47">
        <f>HEX2DEC(M47)-HEX2DEC(800000)</f>
        <v>200896</v>
      </c>
      <c r="P47">
        <f>(HEX2DEC(N47)-HEX2DEC(8000))*2^6</f>
        <v>200896</v>
      </c>
      <c r="R47" t="s">
        <v>307</v>
      </c>
      <c r="V47">
        <v>831332</v>
      </c>
      <c r="W47" t="s">
        <v>2710</v>
      </c>
      <c r="X47">
        <f>HEX2DEC(V47)-HEX2DEC(800000)</f>
        <v>201522</v>
      </c>
      <c r="Y47">
        <f>(HEX2DEC(W47)-HEX2DEC(8000))*2^6</f>
        <v>201536</v>
      </c>
      <c r="AA47" t="s">
        <v>423</v>
      </c>
      <c r="AE47" t="s">
        <v>2721</v>
      </c>
      <c r="AF47" t="s">
        <v>2722</v>
      </c>
      <c r="AG47">
        <f>HEX2DEC(AE47)-HEX2DEC(800000)</f>
        <v>203165</v>
      </c>
      <c r="AH47">
        <f>(HEX2DEC(AF47)-HEX2DEC(8000))*2^6</f>
        <v>203136</v>
      </c>
      <c r="AJ47" t="s">
        <v>541</v>
      </c>
      <c r="AN47" t="s">
        <v>2732</v>
      </c>
      <c r="AO47" t="s">
        <v>2733</v>
      </c>
      <c r="AP47">
        <f>HEX2DEC(AN47)-HEX2DEC(800000)</f>
        <v>211961</v>
      </c>
      <c r="AQ47">
        <f>(HEX2DEC(AO47)-HEX2DEC(8000))*2^6</f>
        <v>211968</v>
      </c>
    </row>
    <row r="48" spans="1:43" x14ac:dyDescent="0.25">
      <c r="A48" t="s">
        <v>36</v>
      </c>
      <c r="I48" t="s">
        <v>36</v>
      </c>
      <c r="R48" t="s">
        <v>36</v>
      </c>
      <c r="AA48" t="s">
        <v>36</v>
      </c>
      <c r="AJ48" t="s">
        <v>36</v>
      </c>
    </row>
    <row r="49" spans="1:36" x14ac:dyDescent="0.25">
      <c r="A49" t="s">
        <v>37</v>
      </c>
      <c r="I49" t="s">
        <v>37</v>
      </c>
      <c r="R49" t="s">
        <v>37</v>
      </c>
      <c r="AA49" t="s">
        <v>37</v>
      </c>
      <c r="AJ49" t="s">
        <v>37</v>
      </c>
    </row>
    <row r="50" spans="1:36" x14ac:dyDescent="0.25">
      <c r="A50" t="s">
        <v>38</v>
      </c>
      <c r="I50" t="s">
        <v>38</v>
      </c>
      <c r="R50" t="s">
        <v>38</v>
      </c>
      <c r="AA50" t="s">
        <v>38</v>
      </c>
      <c r="AJ50" t="s">
        <v>38</v>
      </c>
    </row>
    <row r="52" spans="1:36" x14ac:dyDescent="0.25">
      <c r="A52" t="s">
        <v>14</v>
      </c>
      <c r="I52" t="s">
        <v>14</v>
      </c>
      <c r="R52" t="s">
        <v>14</v>
      </c>
      <c r="AA52" t="s">
        <v>14</v>
      </c>
      <c r="AJ52" t="s">
        <v>14</v>
      </c>
    </row>
    <row r="53" spans="1:36" x14ac:dyDescent="0.25">
      <c r="A53" t="s">
        <v>15</v>
      </c>
      <c r="I53" t="s">
        <v>15</v>
      </c>
      <c r="R53" t="s">
        <v>15</v>
      </c>
      <c r="AA53" t="s">
        <v>15</v>
      </c>
      <c r="AJ53" t="s">
        <v>15</v>
      </c>
    </row>
    <row r="54" spans="1:36" x14ac:dyDescent="0.25">
      <c r="A54" t="s">
        <v>39</v>
      </c>
      <c r="I54" t="s">
        <v>196</v>
      </c>
      <c r="R54" t="s">
        <v>308</v>
      </c>
      <c r="AA54" t="s">
        <v>424</v>
      </c>
      <c r="AJ54" t="s">
        <v>542</v>
      </c>
    </row>
    <row r="55" spans="1:36" x14ac:dyDescent="0.25">
      <c r="A55" t="s">
        <v>16</v>
      </c>
      <c r="I55" t="s">
        <v>16</v>
      </c>
      <c r="R55" t="s">
        <v>16</v>
      </c>
      <c r="AA55" t="s">
        <v>16</v>
      </c>
      <c r="AJ55" t="s">
        <v>16</v>
      </c>
    </row>
    <row r="56" spans="1:36" x14ac:dyDescent="0.25">
      <c r="A56" t="s">
        <v>40</v>
      </c>
      <c r="I56" t="s">
        <v>197</v>
      </c>
      <c r="R56" t="s">
        <v>309</v>
      </c>
      <c r="AA56" t="s">
        <v>425</v>
      </c>
      <c r="AJ56" t="s">
        <v>543</v>
      </c>
    </row>
    <row r="57" spans="1:36" x14ac:dyDescent="0.25">
      <c r="A57" t="s">
        <v>18</v>
      </c>
      <c r="I57" t="s">
        <v>18</v>
      </c>
      <c r="R57" t="s">
        <v>18</v>
      </c>
      <c r="AA57" t="s">
        <v>18</v>
      </c>
      <c r="AJ57" t="s">
        <v>18</v>
      </c>
    </row>
    <row r="58" spans="1:36" x14ac:dyDescent="0.25">
      <c r="A58" t="s">
        <v>19</v>
      </c>
      <c r="I58" t="s">
        <v>19</v>
      </c>
      <c r="R58" t="s">
        <v>19</v>
      </c>
      <c r="AA58" t="s">
        <v>19</v>
      </c>
      <c r="AJ58" t="s">
        <v>19</v>
      </c>
    </row>
    <row r="59" spans="1:36" x14ac:dyDescent="0.25">
      <c r="A59" t="s">
        <v>20</v>
      </c>
      <c r="I59" t="s">
        <v>20</v>
      </c>
      <c r="R59" t="s">
        <v>20</v>
      </c>
      <c r="AA59" t="s">
        <v>20</v>
      </c>
      <c r="AJ59" t="s">
        <v>20</v>
      </c>
    </row>
    <row r="60" spans="1:36" x14ac:dyDescent="0.25">
      <c r="A60" t="s">
        <v>41</v>
      </c>
      <c r="I60" t="s">
        <v>198</v>
      </c>
      <c r="R60" t="s">
        <v>310</v>
      </c>
      <c r="AA60" t="s">
        <v>426</v>
      </c>
      <c r="AJ60" t="s">
        <v>544</v>
      </c>
    </row>
    <row r="61" spans="1:36" x14ac:dyDescent="0.25">
      <c r="A61" t="s">
        <v>22</v>
      </c>
      <c r="I61" t="s">
        <v>22</v>
      </c>
      <c r="R61" t="s">
        <v>22</v>
      </c>
      <c r="AA61" t="s">
        <v>22</v>
      </c>
      <c r="AJ61" t="s">
        <v>22</v>
      </c>
    </row>
    <row r="62" spans="1:36" x14ac:dyDescent="0.25">
      <c r="A62" t="s">
        <v>42</v>
      </c>
      <c r="I62" t="s">
        <v>199</v>
      </c>
      <c r="R62" t="s">
        <v>311</v>
      </c>
      <c r="AA62" t="s">
        <v>427</v>
      </c>
      <c r="AJ62" t="s">
        <v>545</v>
      </c>
    </row>
    <row r="63" spans="1:36" x14ac:dyDescent="0.25">
      <c r="A63" t="s">
        <v>24</v>
      </c>
      <c r="I63" t="s">
        <v>24</v>
      </c>
      <c r="R63" t="s">
        <v>24</v>
      </c>
      <c r="AA63" t="s">
        <v>24</v>
      </c>
      <c r="AJ63" t="s">
        <v>24</v>
      </c>
    </row>
    <row r="64" spans="1:36" x14ac:dyDescent="0.25">
      <c r="A64" t="s">
        <v>25</v>
      </c>
      <c r="I64" t="s">
        <v>25</v>
      </c>
      <c r="R64" t="s">
        <v>25</v>
      </c>
      <c r="AA64" t="s">
        <v>25</v>
      </c>
      <c r="AJ64" t="s">
        <v>25</v>
      </c>
    </row>
    <row r="65" spans="1:36" x14ac:dyDescent="0.25">
      <c r="A65" t="s">
        <v>26</v>
      </c>
      <c r="I65" t="s">
        <v>26</v>
      </c>
      <c r="R65" t="s">
        <v>26</v>
      </c>
      <c r="AA65" t="s">
        <v>26</v>
      </c>
      <c r="AJ65" t="s">
        <v>26</v>
      </c>
    </row>
    <row r="67" spans="1:36" x14ac:dyDescent="0.25">
      <c r="A67" t="s">
        <v>8</v>
      </c>
      <c r="I67" t="s">
        <v>8</v>
      </c>
      <c r="R67" t="s">
        <v>8</v>
      </c>
      <c r="AA67" t="s">
        <v>8</v>
      </c>
      <c r="AJ67" t="s">
        <v>8</v>
      </c>
    </row>
    <row r="68" spans="1:36" x14ac:dyDescent="0.25">
      <c r="A68" t="s">
        <v>9</v>
      </c>
      <c r="I68" t="s">
        <v>9</v>
      </c>
      <c r="R68" t="s">
        <v>9</v>
      </c>
      <c r="AA68" t="s">
        <v>9</v>
      </c>
      <c r="AJ68" t="s">
        <v>9</v>
      </c>
    </row>
    <row r="69" spans="1:36" x14ac:dyDescent="0.25">
      <c r="A69" t="s">
        <v>43</v>
      </c>
      <c r="I69" t="s">
        <v>200</v>
      </c>
      <c r="R69" t="s">
        <v>312</v>
      </c>
      <c r="AA69" t="s">
        <v>428</v>
      </c>
      <c r="AJ69" t="s">
        <v>546</v>
      </c>
    </row>
    <row r="70" spans="1:36" x14ac:dyDescent="0.25">
      <c r="A70" t="s">
        <v>28</v>
      </c>
      <c r="I70" t="s">
        <v>28</v>
      </c>
      <c r="R70" t="s">
        <v>28</v>
      </c>
      <c r="AA70" t="s">
        <v>28</v>
      </c>
      <c r="AJ70" t="s">
        <v>28</v>
      </c>
    </row>
    <row r="71" spans="1:36" x14ac:dyDescent="0.25">
      <c r="A71" t="s">
        <v>44</v>
      </c>
      <c r="I71" t="s">
        <v>201</v>
      </c>
      <c r="R71" t="s">
        <v>313</v>
      </c>
      <c r="AA71" t="s">
        <v>429</v>
      </c>
      <c r="AJ71" t="s">
        <v>547</v>
      </c>
    </row>
    <row r="72" spans="1:36" x14ac:dyDescent="0.25">
      <c r="A72" t="s">
        <v>30</v>
      </c>
      <c r="I72" t="s">
        <v>30</v>
      </c>
      <c r="R72" t="s">
        <v>30</v>
      </c>
      <c r="AA72" t="s">
        <v>30</v>
      </c>
      <c r="AJ72" t="s">
        <v>30</v>
      </c>
    </row>
    <row r="73" spans="1:36" x14ac:dyDescent="0.25">
      <c r="A73" t="s">
        <v>31</v>
      </c>
      <c r="I73" t="s">
        <v>31</v>
      </c>
      <c r="R73" t="s">
        <v>31</v>
      </c>
      <c r="AA73" t="s">
        <v>31</v>
      </c>
      <c r="AJ73" t="s">
        <v>31</v>
      </c>
    </row>
    <row r="74" spans="1:36" x14ac:dyDescent="0.25">
      <c r="A74" t="s">
        <v>32</v>
      </c>
      <c r="I74" t="s">
        <v>32</v>
      </c>
      <c r="R74" t="s">
        <v>32</v>
      </c>
      <c r="AA74" t="s">
        <v>32</v>
      </c>
      <c r="AJ74" t="s">
        <v>32</v>
      </c>
    </row>
    <row r="75" spans="1:36" x14ac:dyDescent="0.25">
      <c r="A75" t="s">
        <v>45</v>
      </c>
      <c r="I75" t="s">
        <v>202</v>
      </c>
      <c r="R75" t="s">
        <v>314</v>
      </c>
      <c r="AA75" t="s">
        <v>430</v>
      </c>
      <c r="AJ75" t="s">
        <v>548</v>
      </c>
    </row>
    <row r="76" spans="1:36" x14ac:dyDescent="0.25">
      <c r="A76" t="s">
        <v>34</v>
      </c>
      <c r="I76" t="s">
        <v>34</v>
      </c>
      <c r="R76" t="s">
        <v>34</v>
      </c>
      <c r="AA76" t="s">
        <v>34</v>
      </c>
      <c r="AJ76" t="s">
        <v>34</v>
      </c>
    </row>
    <row r="77" spans="1:36" x14ac:dyDescent="0.25">
      <c r="A77" t="s">
        <v>46</v>
      </c>
      <c r="I77" t="s">
        <v>203</v>
      </c>
      <c r="R77" t="s">
        <v>315</v>
      </c>
      <c r="AA77" t="s">
        <v>431</v>
      </c>
      <c r="AJ77" t="s">
        <v>549</v>
      </c>
    </row>
    <row r="78" spans="1:36" x14ac:dyDescent="0.25">
      <c r="A78" t="s">
        <v>36</v>
      </c>
      <c r="I78" t="s">
        <v>36</v>
      </c>
      <c r="R78" t="s">
        <v>36</v>
      </c>
      <c r="AA78" t="s">
        <v>36</v>
      </c>
      <c r="AJ78" t="s">
        <v>36</v>
      </c>
    </row>
    <row r="79" spans="1:36" x14ac:dyDescent="0.25">
      <c r="A79" t="s">
        <v>37</v>
      </c>
      <c r="I79" t="s">
        <v>37</v>
      </c>
      <c r="R79" t="s">
        <v>37</v>
      </c>
      <c r="AA79" t="s">
        <v>37</v>
      </c>
      <c r="AJ79" t="s">
        <v>37</v>
      </c>
    </row>
    <row r="80" spans="1:36" x14ac:dyDescent="0.25">
      <c r="A80" t="s">
        <v>38</v>
      </c>
      <c r="I80" t="s">
        <v>38</v>
      </c>
      <c r="R80" t="s">
        <v>38</v>
      </c>
      <c r="AA80" t="s">
        <v>38</v>
      </c>
      <c r="AJ80" t="s">
        <v>38</v>
      </c>
    </row>
    <row r="82" spans="1:36" x14ac:dyDescent="0.25">
      <c r="A82" t="s">
        <v>14</v>
      </c>
      <c r="I82" t="s">
        <v>14</v>
      </c>
      <c r="R82" t="s">
        <v>14</v>
      </c>
      <c r="AA82" t="s">
        <v>14</v>
      </c>
      <c r="AJ82" t="s">
        <v>14</v>
      </c>
    </row>
    <row r="83" spans="1:36" x14ac:dyDescent="0.25">
      <c r="A83" t="s">
        <v>15</v>
      </c>
      <c r="I83" t="s">
        <v>15</v>
      </c>
      <c r="R83" t="s">
        <v>15</v>
      </c>
      <c r="AA83" t="s">
        <v>15</v>
      </c>
      <c r="AJ83" t="s">
        <v>15</v>
      </c>
    </row>
    <row r="84" spans="1:36" x14ac:dyDescent="0.25">
      <c r="A84" t="s">
        <v>47</v>
      </c>
      <c r="I84" t="s">
        <v>204</v>
      </c>
      <c r="R84" t="s">
        <v>316</v>
      </c>
      <c r="AA84" t="s">
        <v>432</v>
      </c>
      <c r="AJ84" t="s">
        <v>550</v>
      </c>
    </row>
    <row r="85" spans="1:36" x14ac:dyDescent="0.25">
      <c r="A85" t="s">
        <v>16</v>
      </c>
      <c r="I85" t="s">
        <v>16</v>
      </c>
      <c r="R85" t="s">
        <v>16</v>
      </c>
      <c r="AA85" t="s">
        <v>16</v>
      </c>
      <c r="AJ85" t="s">
        <v>16</v>
      </c>
    </row>
    <row r="86" spans="1:36" x14ac:dyDescent="0.25">
      <c r="A86" t="s">
        <v>48</v>
      </c>
      <c r="I86" t="s">
        <v>205</v>
      </c>
      <c r="R86" t="s">
        <v>317</v>
      </c>
      <c r="AA86" t="s">
        <v>433</v>
      </c>
      <c r="AJ86" t="s">
        <v>551</v>
      </c>
    </row>
    <row r="87" spans="1:36" x14ac:dyDescent="0.25">
      <c r="A87" t="s">
        <v>18</v>
      </c>
      <c r="I87" t="s">
        <v>18</v>
      </c>
      <c r="R87" t="s">
        <v>18</v>
      </c>
      <c r="AA87" t="s">
        <v>18</v>
      </c>
      <c r="AJ87" t="s">
        <v>18</v>
      </c>
    </row>
    <row r="88" spans="1:36" x14ac:dyDescent="0.25">
      <c r="A88" t="s">
        <v>19</v>
      </c>
      <c r="I88" t="s">
        <v>19</v>
      </c>
      <c r="R88" t="s">
        <v>19</v>
      </c>
      <c r="AA88" t="s">
        <v>19</v>
      </c>
      <c r="AJ88" t="s">
        <v>19</v>
      </c>
    </row>
    <row r="89" spans="1:36" x14ac:dyDescent="0.25">
      <c r="A89" t="s">
        <v>20</v>
      </c>
      <c r="I89" t="s">
        <v>20</v>
      </c>
      <c r="R89" t="s">
        <v>20</v>
      </c>
      <c r="AA89" t="s">
        <v>20</v>
      </c>
      <c r="AJ89" t="s">
        <v>20</v>
      </c>
    </row>
    <row r="90" spans="1:36" x14ac:dyDescent="0.25">
      <c r="A90" t="s">
        <v>49</v>
      </c>
      <c r="I90" t="s">
        <v>206</v>
      </c>
      <c r="R90" t="s">
        <v>318</v>
      </c>
      <c r="AA90" t="s">
        <v>434</v>
      </c>
      <c r="AJ90" t="s">
        <v>552</v>
      </c>
    </row>
    <row r="91" spans="1:36" x14ac:dyDescent="0.25">
      <c r="A91" t="s">
        <v>22</v>
      </c>
      <c r="I91" t="s">
        <v>22</v>
      </c>
      <c r="R91" t="s">
        <v>22</v>
      </c>
      <c r="AA91" t="s">
        <v>22</v>
      </c>
      <c r="AJ91" t="s">
        <v>22</v>
      </c>
    </row>
    <row r="92" spans="1:36" x14ac:dyDescent="0.25">
      <c r="A92" t="s">
        <v>50</v>
      </c>
      <c r="I92" t="s">
        <v>207</v>
      </c>
      <c r="R92" t="s">
        <v>319</v>
      </c>
      <c r="AA92" t="s">
        <v>435</v>
      </c>
      <c r="AJ92" t="s">
        <v>553</v>
      </c>
    </row>
    <row r="93" spans="1:36" x14ac:dyDescent="0.25">
      <c r="A93" t="s">
        <v>24</v>
      </c>
      <c r="I93" t="s">
        <v>24</v>
      </c>
      <c r="R93" t="s">
        <v>24</v>
      </c>
      <c r="AA93" t="s">
        <v>24</v>
      </c>
      <c r="AJ93" t="s">
        <v>24</v>
      </c>
    </row>
    <row r="94" spans="1:36" x14ac:dyDescent="0.25">
      <c r="A94" t="s">
        <v>25</v>
      </c>
      <c r="I94" t="s">
        <v>25</v>
      </c>
      <c r="R94" t="s">
        <v>25</v>
      </c>
      <c r="AA94" t="s">
        <v>25</v>
      </c>
      <c r="AJ94" t="s">
        <v>25</v>
      </c>
    </row>
    <row r="95" spans="1:36" x14ac:dyDescent="0.25">
      <c r="A95" t="s">
        <v>26</v>
      </c>
      <c r="I95" t="s">
        <v>26</v>
      </c>
      <c r="R95" t="s">
        <v>26</v>
      </c>
      <c r="AA95" t="s">
        <v>26</v>
      </c>
      <c r="AJ95" t="s">
        <v>26</v>
      </c>
    </row>
    <row r="97" spans="1:36" x14ac:dyDescent="0.25">
      <c r="A97" t="s">
        <v>8</v>
      </c>
      <c r="I97" t="s">
        <v>8</v>
      </c>
      <c r="R97" t="s">
        <v>8</v>
      </c>
      <c r="AA97" t="s">
        <v>8</v>
      </c>
      <c r="AJ97" t="s">
        <v>8</v>
      </c>
    </row>
    <row r="98" spans="1:36" x14ac:dyDescent="0.25">
      <c r="A98" t="s">
        <v>9</v>
      </c>
      <c r="I98" t="s">
        <v>9</v>
      </c>
      <c r="R98" t="s">
        <v>9</v>
      </c>
      <c r="AA98" t="s">
        <v>9</v>
      </c>
      <c r="AJ98" t="s">
        <v>9</v>
      </c>
    </row>
    <row r="99" spans="1:36" x14ac:dyDescent="0.25">
      <c r="A99" t="s">
        <v>51</v>
      </c>
      <c r="I99" t="s">
        <v>208</v>
      </c>
      <c r="R99" t="s">
        <v>320</v>
      </c>
      <c r="AA99" t="s">
        <v>436</v>
      </c>
      <c r="AJ99" t="s">
        <v>554</v>
      </c>
    </row>
    <row r="100" spans="1:36" x14ac:dyDescent="0.25">
      <c r="A100" t="s">
        <v>28</v>
      </c>
      <c r="I100" t="s">
        <v>28</v>
      </c>
      <c r="R100" t="s">
        <v>28</v>
      </c>
      <c r="AA100" t="s">
        <v>28</v>
      </c>
      <c r="AJ100" t="s">
        <v>28</v>
      </c>
    </row>
    <row r="101" spans="1:36" x14ac:dyDescent="0.25">
      <c r="A101" t="s">
        <v>52</v>
      </c>
      <c r="I101" t="s">
        <v>209</v>
      </c>
      <c r="R101" t="s">
        <v>321</v>
      </c>
      <c r="AA101" t="s">
        <v>437</v>
      </c>
      <c r="AJ101" t="s">
        <v>555</v>
      </c>
    </row>
    <row r="102" spans="1:36" x14ac:dyDescent="0.25">
      <c r="A102" t="s">
        <v>30</v>
      </c>
      <c r="I102" t="s">
        <v>30</v>
      </c>
      <c r="R102" t="s">
        <v>30</v>
      </c>
      <c r="AA102" t="s">
        <v>30</v>
      </c>
      <c r="AJ102" t="s">
        <v>30</v>
      </c>
    </row>
    <row r="103" spans="1:36" x14ac:dyDescent="0.25">
      <c r="A103" t="s">
        <v>31</v>
      </c>
      <c r="I103" t="s">
        <v>31</v>
      </c>
      <c r="R103" t="s">
        <v>31</v>
      </c>
      <c r="AA103" t="s">
        <v>31</v>
      </c>
      <c r="AJ103" t="s">
        <v>31</v>
      </c>
    </row>
    <row r="104" spans="1:36" x14ac:dyDescent="0.25">
      <c r="A104" t="s">
        <v>32</v>
      </c>
      <c r="I104" t="s">
        <v>32</v>
      </c>
      <c r="R104" t="s">
        <v>32</v>
      </c>
      <c r="AA104" t="s">
        <v>32</v>
      </c>
      <c r="AJ104" t="s">
        <v>32</v>
      </c>
    </row>
    <row r="105" spans="1:36" x14ac:dyDescent="0.25">
      <c r="A105" t="s">
        <v>53</v>
      </c>
      <c r="I105" t="s">
        <v>210</v>
      </c>
      <c r="R105" t="s">
        <v>322</v>
      </c>
      <c r="AA105" t="s">
        <v>438</v>
      </c>
      <c r="AJ105" t="s">
        <v>556</v>
      </c>
    </row>
    <row r="106" spans="1:36" x14ac:dyDescent="0.25">
      <c r="A106" t="s">
        <v>34</v>
      </c>
      <c r="I106" t="s">
        <v>34</v>
      </c>
      <c r="R106" t="s">
        <v>34</v>
      </c>
      <c r="AA106" t="s">
        <v>34</v>
      </c>
      <c r="AJ106" t="s">
        <v>34</v>
      </c>
    </row>
    <row r="107" spans="1:36" x14ac:dyDescent="0.25">
      <c r="A107" t="s">
        <v>54</v>
      </c>
      <c r="I107" t="s">
        <v>211</v>
      </c>
      <c r="R107" t="s">
        <v>323</v>
      </c>
      <c r="AA107" t="s">
        <v>439</v>
      </c>
      <c r="AJ107" t="s">
        <v>557</v>
      </c>
    </row>
    <row r="108" spans="1:36" x14ac:dyDescent="0.25">
      <c r="A108" t="s">
        <v>36</v>
      </c>
      <c r="I108" t="s">
        <v>36</v>
      </c>
      <c r="R108" t="s">
        <v>36</v>
      </c>
      <c r="AA108" t="s">
        <v>36</v>
      </c>
      <c r="AJ108" t="s">
        <v>36</v>
      </c>
    </row>
    <row r="109" spans="1:36" x14ac:dyDescent="0.25">
      <c r="A109" t="s">
        <v>37</v>
      </c>
      <c r="I109" t="s">
        <v>37</v>
      </c>
      <c r="R109" t="s">
        <v>37</v>
      </c>
      <c r="AA109" t="s">
        <v>37</v>
      </c>
      <c r="AJ109" t="s">
        <v>37</v>
      </c>
    </row>
    <row r="110" spans="1:36" x14ac:dyDescent="0.25">
      <c r="A110" t="s">
        <v>38</v>
      </c>
      <c r="I110" t="s">
        <v>38</v>
      </c>
      <c r="R110" t="s">
        <v>38</v>
      </c>
      <c r="AA110" t="s">
        <v>38</v>
      </c>
      <c r="AJ110" t="s">
        <v>38</v>
      </c>
    </row>
    <row r="112" spans="1:36" x14ac:dyDescent="0.25">
      <c r="A112" t="s">
        <v>14</v>
      </c>
      <c r="I112" t="s">
        <v>14</v>
      </c>
      <c r="R112" t="s">
        <v>14</v>
      </c>
      <c r="AA112" t="s">
        <v>14</v>
      </c>
      <c r="AJ112" t="s">
        <v>14</v>
      </c>
    </row>
    <row r="113" spans="1:36" x14ac:dyDescent="0.25">
      <c r="A113" t="s">
        <v>15</v>
      </c>
      <c r="I113" t="s">
        <v>15</v>
      </c>
      <c r="R113" t="s">
        <v>15</v>
      </c>
      <c r="AA113" t="s">
        <v>15</v>
      </c>
      <c r="AJ113" t="s">
        <v>15</v>
      </c>
    </row>
    <row r="114" spans="1:36" x14ac:dyDescent="0.25">
      <c r="A114" t="s">
        <v>55</v>
      </c>
      <c r="I114" t="s">
        <v>212</v>
      </c>
      <c r="R114" t="s">
        <v>324</v>
      </c>
      <c r="AA114" t="s">
        <v>440</v>
      </c>
      <c r="AJ114" t="s">
        <v>558</v>
      </c>
    </row>
    <row r="115" spans="1:36" x14ac:dyDescent="0.25">
      <c r="A115" t="s">
        <v>16</v>
      </c>
      <c r="I115" t="s">
        <v>16</v>
      </c>
      <c r="R115" t="s">
        <v>16</v>
      </c>
      <c r="AA115" t="s">
        <v>16</v>
      </c>
      <c r="AJ115" t="s">
        <v>16</v>
      </c>
    </row>
    <row r="116" spans="1:36" x14ac:dyDescent="0.25">
      <c r="A116" t="s">
        <v>56</v>
      </c>
      <c r="I116" t="s">
        <v>213</v>
      </c>
      <c r="R116" t="s">
        <v>325</v>
      </c>
      <c r="AA116" t="s">
        <v>441</v>
      </c>
      <c r="AJ116" t="s">
        <v>559</v>
      </c>
    </row>
    <row r="117" spans="1:36" x14ac:dyDescent="0.25">
      <c r="A117" t="s">
        <v>18</v>
      </c>
      <c r="I117" t="s">
        <v>18</v>
      </c>
      <c r="R117" t="s">
        <v>18</v>
      </c>
      <c r="AA117" t="s">
        <v>18</v>
      </c>
      <c r="AJ117" t="s">
        <v>18</v>
      </c>
    </row>
    <row r="118" spans="1:36" x14ac:dyDescent="0.25">
      <c r="A118" t="s">
        <v>19</v>
      </c>
      <c r="I118" t="s">
        <v>19</v>
      </c>
      <c r="R118" t="s">
        <v>19</v>
      </c>
      <c r="AA118" t="s">
        <v>19</v>
      </c>
      <c r="AJ118" t="s">
        <v>19</v>
      </c>
    </row>
    <row r="119" spans="1:36" x14ac:dyDescent="0.25">
      <c r="A119" t="s">
        <v>20</v>
      </c>
      <c r="I119" t="s">
        <v>20</v>
      </c>
      <c r="R119" t="s">
        <v>20</v>
      </c>
      <c r="AA119" t="s">
        <v>20</v>
      </c>
      <c r="AJ119" t="s">
        <v>20</v>
      </c>
    </row>
    <row r="120" spans="1:36" x14ac:dyDescent="0.25">
      <c r="A120" t="s">
        <v>57</v>
      </c>
      <c r="I120" t="s">
        <v>214</v>
      </c>
      <c r="R120" t="s">
        <v>326</v>
      </c>
      <c r="AA120" t="s">
        <v>442</v>
      </c>
      <c r="AJ120" t="s">
        <v>560</v>
      </c>
    </row>
    <row r="121" spans="1:36" x14ac:dyDescent="0.25">
      <c r="A121" t="s">
        <v>22</v>
      </c>
      <c r="I121" t="s">
        <v>22</v>
      </c>
      <c r="R121" t="s">
        <v>22</v>
      </c>
      <c r="AA121" t="s">
        <v>22</v>
      </c>
      <c r="AJ121" t="s">
        <v>22</v>
      </c>
    </row>
    <row r="122" spans="1:36" x14ac:dyDescent="0.25">
      <c r="A122" t="s">
        <v>58</v>
      </c>
      <c r="I122" t="s">
        <v>215</v>
      </c>
      <c r="R122" t="s">
        <v>327</v>
      </c>
      <c r="AA122" t="s">
        <v>443</v>
      </c>
      <c r="AJ122" t="s">
        <v>561</v>
      </c>
    </row>
    <row r="123" spans="1:36" x14ac:dyDescent="0.25">
      <c r="A123" t="s">
        <v>24</v>
      </c>
      <c r="I123" t="s">
        <v>24</v>
      </c>
      <c r="R123" t="s">
        <v>24</v>
      </c>
      <c r="AA123" t="s">
        <v>24</v>
      </c>
      <c r="AJ123" t="s">
        <v>24</v>
      </c>
    </row>
    <row r="124" spans="1:36" x14ac:dyDescent="0.25">
      <c r="A124" t="s">
        <v>25</v>
      </c>
      <c r="I124" t="s">
        <v>25</v>
      </c>
      <c r="R124" t="s">
        <v>25</v>
      </c>
      <c r="AA124" t="s">
        <v>25</v>
      </c>
      <c r="AJ124" t="s">
        <v>25</v>
      </c>
    </row>
    <row r="125" spans="1:36" x14ac:dyDescent="0.25">
      <c r="A125" t="s">
        <v>26</v>
      </c>
      <c r="I125" t="s">
        <v>26</v>
      </c>
      <c r="R125" t="s">
        <v>26</v>
      </c>
      <c r="AA125" t="s">
        <v>26</v>
      </c>
      <c r="AJ125" t="s">
        <v>26</v>
      </c>
    </row>
    <row r="127" spans="1:36" x14ac:dyDescent="0.25">
      <c r="A127" t="s">
        <v>8</v>
      </c>
      <c r="I127" t="s">
        <v>8</v>
      </c>
      <c r="R127" t="s">
        <v>8</v>
      </c>
      <c r="AA127" t="s">
        <v>8</v>
      </c>
      <c r="AJ127" t="s">
        <v>8</v>
      </c>
    </row>
    <row r="128" spans="1:36" x14ac:dyDescent="0.25">
      <c r="A128" t="s">
        <v>9</v>
      </c>
      <c r="I128" t="s">
        <v>9</v>
      </c>
      <c r="R128" t="s">
        <v>9</v>
      </c>
      <c r="AA128" t="s">
        <v>9</v>
      </c>
      <c r="AJ128" t="s">
        <v>9</v>
      </c>
    </row>
    <row r="129" spans="1:36" x14ac:dyDescent="0.25">
      <c r="A129" t="s">
        <v>59</v>
      </c>
      <c r="I129" t="s">
        <v>216</v>
      </c>
      <c r="R129" t="s">
        <v>328</v>
      </c>
      <c r="AA129" t="s">
        <v>444</v>
      </c>
      <c r="AJ129" t="s">
        <v>562</v>
      </c>
    </row>
    <row r="130" spans="1:36" x14ac:dyDescent="0.25">
      <c r="A130" t="s">
        <v>28</v>
      </c>
      <c r="I130" t="s">
        <v>28</v>
      </c>
      <c r="R130" t="s">
        <v>28</v>
      </c>
      <c r="AA130" t="s">
        <v>28</v>
      </c>
      <c r="AJ130" t="s">
        <v>28</v>
      </c>
    </row>
    <row r="131" spans="1:36" x14ac:dyDescent="0.25">
      <c r="A131" t="s">
        <v>60</v>
      </c>
      <c r="I131" t="s">
        <v>217</v>
      </c>
      <c r="R131" t="s">
        <v>329</v>
      </c>
      <c r="AA131" t="s">
        <v>445</v>
      </c>
      <c r="AJ131" t="s">
        <v>563</v>
      </c>
    </row>
    <row r="132" spans="1:36" x14ac:dyDescent="0.25">
      <c r="A132" t="s">
        <v>30</v>
      </c>
      <c r="I132" t="s">
        <v>30</v>
      </c>
      <c r="R132" t="s">
        <v>30</v>
      </c>
      <c r="AA132" t="s">
        <v>30</v>
      </c>
      <c r="AJ132" t="s">
        <v>30</v>
      </c>
    </row>
    <row r="133" spans="1:36" x14ac:dyDescent="0.25">
      <c r="A133" t="s">
        <v>31</v>
      </c>
      <c r="I133" t="s">
        <v>31</v>
      </c>
      <c r="R133" t="s">
        <v>31</v>
      </c>
      <c r="AA133" t="s">
        <v>31</v>
      </c>
      <c r="AJ133" t="s">
        <v>31</v>
      </c>
    </row>
    <row r="134" spans="1:36" x14ac:dyDescent="0.25">
      <c r="A134" t="s">
        <v>32</v>
      </c>
      <c r="I134" t="s">
        <v>32</v>
      </c>
      <c r="R134" t="s">
        <v>32</v>
      </c>
      <c r="AA134" t="s">
        <v>32</v>
      </c>
      <c r="AJ134" t="s">
        <v>32</v>
      </c>
    </row>
    <row r="135" spans="1:36" x14ac:dyDescent="0.25">
      <c r="A135" t="s">
        <v>61</v>
      </c>
      <c r="I135" t="s">
        <v>218</v>
      </c>
      <c r="R135" t="s">
        <v>330</v>
      </c>
      <c r="AA135" t="s">
        <v>446</v>
      </c>
      <c r="AJ135" t="s">
        <v>564</v>
      </c>
    </row>
    <row r="136" spans="1:36" x14ac:dyDescent="0.25">
      <c r="A136" t="s">
        <v>34</v>
      </c>
      <c r="I136" t="s">
        <v>34</v>
      </c>
      <c r="R136" t="s">
        <v>34</v>
      </c>
      <c r="AA136" t="s">
        <v>34</v>
      </c>
      <c r="AJ136" t="s">
        <v>34</v>
      </c>
    </row>
    <row r="137" spans="1:36" x14ac:dyDescent="0.25">
      <c r="A137" t="s">
        <v>62</v>
      </c>
      <c r="I137" t="s">
        <v>219</v>
      </c>
      <c r="R137" t="s">
        <v>331</v>
      </c>
      <c r="AA137" t="s">
        <v>447</v>
      </c>
      <c r="AJ137" t="s">
        <v>565</v>
      </c>
    </row>
    <row r="138" spans="1:36" x14ac:dyDescent="0.25">
      <c r="A138" t="s">
        <v>36</v>
      </c>
      <c r="I138" t="s">
        <v>36</v>
      </c>
      <c r="R138" t="s">
        <v>36</v>
      </c>
      <c r="AA138" t="s">
        <v>36</v>
      </c>
      <c r="AJ138" t="s">
        <v>36</v>
      </c>
    </row>
    <row r="139" spans="1:36" x14ac:dyDescent="0.25">
      <c r="A139" t="s">
        <v>37</v>
      </c>
      <c r="I139" t="s">
        <v>37</v>
      </c>
      <c r="R139" t="s">
        <v>37</v>
      </c>
      <c r="AA139" t="s">
        <v>37</v>
      </c>
      <c r="AJ139" t="s">
        <v>37</v>
      </c>
    </row>
    <row r="140" spans="1:36" x14ac:dyDescent="0.25">
      <c r="A140" t="s">
        <v>38</v>
      </c>
      <c r="I140" t="s">
        <v>38</v>
      </c>
      <c r="R140" t="s">
        <v>38</v>
      </c>
      <c r="AA140" t="s">
        <v>38</v>
      </c>
      <c r="AJ140" t="s">
        <v>38</v>
      </c>
    </row>
    <row r="142" spans="1:36" x14ac:dyDescent="0.25">
      <c r="A142" t="s">
        <v>14</v>
      </c>
      <c r="I142" t="s">
        <v>14</v>
      </c>
      <c r="R142" t="s">
        <v>14</v>
      </c>
      <c r="AA142" t="s">
        <v>14</v>
      </c>
      <c r="AJ142" t="s">
        <v>14</v>
      </c>
    </row>
    <row r="143" spans="1:36" x14ac:dyDescent="0.25">
      <c r="A143" t="s">
        <v>15</v>
      </c>
      <c r="I143" t="s">
        <v>15</v>
      </c>
      <c r="R143" t="s">
        <v>15</v>
      </c>
      <c r="AA143" t="s">
        <v>15</v>
      </c>
      <c r="AJ143" t="s">
        <v>15</v>
      </c>
    </row>
    <row r="144" spans="1:36" x14ac:dyDescent="0.25">
      <c r="A144" t="s">
        <v>63</v>
      </c>
      <c r="I144" t="s">
        <v>220</v>
      </c>
      <c r="R144" t="s">
        <v>332</v>
      </c>
      <c r="AA144" t="s">
        <v>448</v>
      </c>
      <c r="AJ144" t="s">
        <v>566</v>
      </c>
    </row>
    <row r="145" spans="1:36" x14ac:dyDescent="0.25">
      <c r="A145" t="s">
        <v>16</v>
      </c>
      <c r="I145" t="s">
        <v>16</v>
      </c>
      <c r="R145" t="s">
        <v>16</v>
      </c>
      <c r="AA145" t="s">
        <v>16</v>
      </c>
      <c r="AJ145" t="s">
        <v>16</v>
      </c>
    </row>
    <row r="146" spans="1:36" x14ac:dyDescent="0.25">
      <c r="A146" t="s">
        <v>64</v>
      </c>
      <c r="I146" t="s">
        <v>221</v>
      </c>
      <c r="R146" t="s">
        <v>333</v>
      </c>
      <c r="AA146" t="s">
        <v>449</v>
      </c>
      <c r="AJ146" t="s">
        <v>567</v>
      </c>
    </row>
    <row r="147" spans="1:36" x14ac:dyDescent="0.25">
      <c r="A147" t="s">
        <v>18</v>
      </c>
      <c r="I147" t="s">
        <v>18</v>
      </c>
      <c r="R147" t="s">
        <v>18</v>
      </c>
      <c r="AA147" t="s">
        <v>18</v>
      </c>
      <c r="AJ147" t="s">
        <v>18</v>
      </c>
    </row>
    <row r="148" spans="1:36" x14ac:dyDescent="0.25">
      <c r="A148" t="s">
        <v>19</v>
      </c>
      <c r="I148" t="s">
        <v>19</v>
      </c>
      <c r="R148" t="s">
        <v>19</v>
      </c>
      <c r="AA148" t="s">
        <v>19</v>
      </c>
      <c r="AJ148" t="s">
        <v>19</v>
      </c>
    </row>
    <row r="149" spans="1:36" x14ac:dyDescent="0.25">
      <c r="A149" t="s">
        <v>20</v>
      </c>
      <c r="I149" t="s">
        <v>20</v>
      </c>
      <c r="R149" t="s">
        <v>20</v>
      </c>
      <c r="AA149" t="s">
        <v>20</v>
      </c>
      <c r="AJ149" t="s">
        <v>20</v>
      </c>
    </row>
    <row r="150" spans="1:36" x14ac:dyDescent="0.25">
      <c r="A150" t="s">
        <v>65</v>
      </c>
      <c r="I150" t="s">
        <v>222</v>
      </c>
      <c r="R150" t="s">
        <v>334</v>
      </c>
      <c r="AA150" t="s">
        <v>450</v>
      </c>
      <c r="AJ150" t="s">
        <v>568</v>
      </c>
    </row>
    <row r="151" spans="1:36" x14ac:dyDescent="0.25">
      <c r="A151" t="s">
        <v>22</v>
      </c>
      <c r="I151" t="s">
        <v>22</v>
      </c>
      <c r="R151" t="s">
        <v>22</v>
      </c>
      <c r="AA151" t="s">
        <v>22</v>
      </c>
      <c r="AJ151" t="s">
        <v>22</v>
      </c>
    </row>
    <row r="152" spans="1:36" x14ac:dyDescent="0.25">
      <c r="A152" t="s">
        <v>66</v>
      </c>
      <c r="I152" t="s">
        <v>223</v>
      </c>
      <c r="R152" t="s">
        <v>335</v>
      </c>
      <c r="AA152" t="s">
        <v>451</v>
      </c>
      <c r="AJ152" t="s">
        <v>569</v>
      </c>
    </row>
    <row r="153" spans="1:36" x14ac:dyDescent="0.25">
      <c r="A153" t="s">
        <v>24</v>
      </c>
      <c r="I153" t="s">
        <v>24</v>
      </c>
      <c r="R153" t="s">
        <v>24</v>
      </c>
      <c r="AA153" t="s">
        <v>24</v>
      </c>
      <c r="AJ153" t="s">
        <v>24</v>
      </c>
    </row>
    <row r="154" spans="1:36" x14ac:dyDescent="0.25">
      <c r="A154" t="s">
        <v>25</v>
      </c>
      <c r="I154" t="s">
        <v>25</v>
      </c>
      <c r="R154" t="s">
        <v>25</v>
      </c>
      <c r="AA154" t="s">
        <v>25</v>
      </c>
      <c r="AJ154" t="s">
        <v>25</v>
      </c>
    </row>
    <row r="155" spans="1:36" x14ac:dyDescent="0.25">
      <c r="A155" t="s">
        <v>26</v>
      </c>
      <c r="I155" t="s">
        <v>26</v>
      </c>
      <c r="R155" t="s">
        <v>26</v>
      </c>
      <c r="AA155" t="s">
        <v>26</v>
      </c>
      <c r="AJ155" t="s">
        <v>26</v>
      </c>
    </row>
    <row r="157" spans="1:36" x14ac:dyDescent="0.25">
      <c r="A157" t="s">
        <v>8</v>
      </c>
      <c r="I157" t="s">
        <v>8</v>
      </c>
      <c r="R157" t="s">
        <v>8</v>
      </c>
      <c r="AA157" t="s">
        <v>8</v>
      </c>
      <c r="AJ157" t="s">
        <v>8</v>
      </c>
    </row>
    <row r="158" spans="1:36" x14ac:dyDescent="0.25">
      <c r="A158" t="s">
        <v>9</v>
      </c>
      <c r="I158" t="s">
        <v>9</v>
      </c>
      <c r="R158" t="s">
        <v>9</v>
      </c>
      <c r="AA158" t="s">
        <v>9</v>
      </c>
      <c r="AJ158" t="s">
        <v>9</v>
      </c>
    </row>
    <row r="159" spans="1:36" x14ac:dyDescent="0.25">
      <c r="A159" t="s">
        <v>67</v>
      </c>
      <c r="I159" t="s">
        <v>224</v>
      </c>
      <c r="R159" t="s">
        <v>336</v>
      </c>
      <c r="AA159" t="s">
        <v>452</v>
      </c>
      <c r="AJ159" t="s">
        <v>570</v>
      </c>
    </row>
    <row r="160" spans="1:36" x14ac:dyDescent="0.25">
      <c r="A160" t="s">
        <v>28</v>
      </c>
      <c r="I160" t="s">
        <v>28</v>
      </c>
      <c r="R160" t="s">
        <v>28</v>
      </c>
      <c r="AA160" t="s">
        <v>28</v>
      </c>
      <c r="AJ160" t="s">
        <v>28</v>
      </c>
    </row>
    <row r="161" spans="1:36" x14ac:dyDescent="0.25">
      <c r="A161" t="s">
        <v>68</v>
      </c>
      <c r="I161" t="s">
        <v>225</v>
      </c>
      <c r="R161" t="s">
        <v>337</v>
      </c>
      <c r="AA161" t="s">
        <v>453</v>
      </c>
      <c r="AJ161" t="s">
        <v>571</v>
      </c>
    </row>
    <row r="162" spans="1:36" x14ac:dyDescent="0.25">
      <c r="A162" t="s">
        <v>30</v>
      </c>
      <c r="I162" t="s">
        <v>30</v>
      </c>
      <c r="R162" t="s">
        <v>30</v>
      </c>
      <c r="AA162" t="s">
        <v>30</v>
      </c>
      <c r="AJ162" t="s">
        <v>30</v>
      </c>
    </row>
    <row r="163" spans="1:36" x14ac:dyDescent="0.25">
      <c r="A163" t="s">
        <v>31</v>
      </c>
      <c r="I163" t="s">
        <v>31</v>
      </c>
      <c r="R163" t="s">
        <v>31</v>
      </c>
      <c r="AA163" t="s">
        <v>31</v>
      </c>
      <c r="AJ163" t="s">
        <v>31</v>
      </c>
    </row>
    <row r="164" spans="1:36" x14ac:dyDescent="0.25">
      <c r="A164" t="s">
        <v>32</v>
      </c>
      <c r="I164" t="s">
        <v>32</v>
      </c>
      <c r="R164" t="s">
        <v>32</v>
      </c>
      <c r="AA164" t="s">
        <v>32</v>
      </c>
      <c r="AJ164" t="s">
        <v>32</v>
      </c>
    </row>
    <row r="165" spans="1:36" x14ac:dyDescent="0.25">
      <c r="A165" t="s">
        <v>69</v>
      </c>
      <c r="I165" t="s">
        <v>226</v>
      </c>
      <c r="R165" t="s">
        <v>322</v>
      </c>
      <c r="AA165" t="s">
        <v>454</v>
      </c>
      <c r="AJ165" t="s">
        <v>572</v>
      </c>
    </row>
    <row r="166" spans="1:36" x14ac:dyDescent="0.25">
      <c r="A166" t="s">
        <v>34</v>
      </c>
      <c r="I166" t="s">
        <v>34</v>
      </c>
      <c r="R166" t="s">
        <v>34</v>
      </c>
      <c r="AA166" t="s">
        <v>34</v>
      </c>
      <c r="AJ166" t="s">
        <v>34</v>
      </c>
    </row>
    <row r="167" spans="1:36" x14ac:dyDescent="0.25">
      <c r="A167" t="s">
        <v>70</v>
      </c>
      <c r="I167" t="s">
        <v>227</v>
      </c>
      <c r="R167" t="s">
        <v>323</v>
      </c>
      <c r="AA167" t="s">
        <v>455</v>
      </c>
      <c r="AJ167" t="s">
        <v>573</v>
      </c>
    </row>
    <row r="168" spans="1:36" x14ac:dyDescent="0.25">
      <c r="A168" t="s">
        <v>36</v>
      </c>
      <c r="I168" t="s">
        <v>36</v>
      </c>
      <c r="R168" t="s">
        <v>36</v>
      </c>
      <c r="AA168" t="s">
        <v>36</v>
      </c>
      <c r="AJ168" t="s">
        <v>36</v>
      </c>
    </row>
    <row r="169" spans="1:36" x14ac:dyDescent="0.25">
      <c r="A169" t="s">
        <v>37</v>
      </c>
      <c r="I169" t="s">
        <v>37</v>
      </c>
      <c r="R169" t="s">
        <v>37</v>
      </c>
      <c r="AA169" t="s">
        <v>37</v>
      </c>
      <c r="AJ169" t="s">
        <v>37</v>
      </c>
    </row>
    <row r="170" spans="1:36" x14ac:dyDescent="0.25">
      <c r="A170" t="s">
        <v>38</v>
      </c>
      <c r="I170" t="s">
        <v>38</v>
      </c>
      <c r="R170" t="s">
        <v>38</v>
      </c>
      <c r="AA170" t="s">
        <v>38</v>
      </c>
      <c r="AJ170" t="s">
        <v>38</v>
      </c>
    </row>
    <row r="172" spans="1:36" x14ac:dyDescent="0.25">
      <c r="A172" t="s">
        <v>14</v>
      </c>
      <c r="I172" t="s">
        <v>14</v>
      </c>
      <c r="R172" t="s">
        <v>14</v>
      </c>
      <c r="AA172" t="s">
        <v>14</v>
      </c>
      <c r="AJ172" t="s">
        <v>14</v>
      </c>
    </row>
    <row r="173" spans="1:36" x14ac:dyDescent="0.25">
      <c r="A173" t="s">
        <v>15</v>
      </c>
      <c r="I173" t="s">
        <v>15</v>
      </c>
      <c r="R173" t="s">
        <v>15</v>
      </c>
      <c r="AA173" t="s">
        <v>15</v>
      </c>
      <c r="AJ173" t="s">
        <v>15</v>
      </c>
    </row>
    <row r="174" spans="1:36" x14ac:dyDescent="0.25">
      <c r="A174" t="s">
        <v>71</v>
      </c>
      <c r="I174" t="s">
        <v>228</v>
      </c>
      <c r="R174" t="s">
        <v>338</v>
      </c>
      <c r="AA174" t="s">
        <v>456</v>
      </c>
      <c r="AJ174" t="s">
        <v>574</v>
      </c>
    </row>
    <row r="175" spans="1:36" x14ac:dyDescent="0.25">
      <c r="A175" t="s">
        <v>16</v>
      </c>
      <c r="I175" t="s">
        <v>16</v>
      </c>
      <c r="R175" t="s">
        <v>16</v>
      </c>
      <c r="AA175" t="s">
        <v>16</v>
      </c>
      <c r="AJ175" t="s">
        <v>16</v>
      </c>
    </row>
    <row r="176" spans="1:36" x14ac:dyDescent="0.25">
      <c r="A176" t="s">
        <v>72</v>
      </c>
      <c r="I176" t="s">
        <v>229</v>
      </c>
      <c r="R176" t="s">
        <v>339</v>
      </c>
      <c r="AA176" t="s">
        <v>457</v>
      </c>
      <c r="AJ176" t="s">
        <v>551</v>
      </c>
    </row>
    <row r="177" spans="1:36" x14ac:dyDescent="0.25">
      <c r="A177" t="s">
        <v>18</v>
      </c>
      <c r="I177" t="s">
        <v>18</v>
      </c>
      <c r="R177" t="s">
        <v>18</v>
      </c>
      <c r="AA177" t="s">
        <v>18</v>
      </c>
      <c r="AJ177" t="s">
        <v>18</v>
      </c>
    </row>
    <row r="178" spans="1:36" x14ac:dyDescent="0.25">
      <c r="A178" t="s">
        <v>19</v>
      </c>
      <c r="I178" t="s">
        <v>19</v>
      </c>
      <c r="R178" t="s">
        <v>19</v>
      </c>
      <c r="AA178" t="s">
        <v>19</v>
      </c>
      <c r="AJ178" t="s">
        <v>19</v>
      </c>
    </row>
    <row r="179" spans="1:36" x14ac:dyDescent="0.25">
      <c r="A179" t="s">
        <v>20</v>
      </c>
      <c r="I179" t="s">
        <v>20</v>
      </c>
      <c r="R179" t="s">
        <v>20</v>
      </c>
      <c r="AA179" t="s">
        <v>20</v>
      </c>
      <c r="AJ179" t="s">
        <v>20</v>
      </c>
    </row>
    <row r="180" spans="1:36" x14ac:dyDescent="0.25">
      <c r="A180" t="s">
        <v>73</v>
      </c>
      <c r="I180" t="s">
        <v>230</v>
      </c>
      <c r="R180" t="s">
        <v>340</v>
      </c>
      <c r="AA180" t="s">
        <v>458</v>
      </c>
      <c r="AJ180" t="s">
        <v>575</v>
      </c>
    </row>
    <row r="181" spans="1:36" x14ac:dyDescent="0.25">
      <c r="A181" t="s">
        <v>22</v>
      </c>
      <c r="I181" t="s">
        <v>22</v>
      </c>
      <c r="R181" t="s">
        <v>22</v>
      </c>
      <c r="AA181" t="s">
        <v>22</v>
      </c>
      <c r="AJ181" t="s">
        <v>22</v>
      </c>
    </row>
    <row r="182" spans="1:36" x14ac:dyDescent="0.25">
      <c r="A182" t="s">
        <v>74</v>
      </c>
      <c r="I182" t="s">
        <v>231</v>
      </c>
      <c r="R182" t="s">
        <v>341</v>
      </c>
      <c r="AA182" t="s">
        <v>459</v>
      </c>
      <c r="AJ182" t="s">
        <v>576</v>
      </c>
    </row>
    <row r="183" spans="1:36" x14ac:dyDescent="0.25">
      <c r="A183" t="s">
        <v>24</v>
      </c>
      <c r="I183" t="s">
        <v>24</v>
      </c>
      <c r="R183" t="s">
        <v>24</v>
      </c>
      <c r="AA183" t="s">
        <v>24</v>
      </c>
      <c r="AJ183" t="s">
        <v>24</v>
      </c>
    </row>
    <row r="184" spans="1:36" x14ac:dyDescent="0.25">
      <c r="A184" t="s">
        <v>25</v>
      </c>
      <c r="I184" t="s">
        <v>25</v>
      </c>
      <c r="R184" t="s">
        <v>25</v>
      </c>
      <c r="AA184" t="s">
        <v>25</v>
      </c>
      <c r="AJ184" t="s">
        <v>25</v>
      </c>
    </row>
    <row r="185" spans="1:36" x14ac:dyDescent="0.25">
      <c r="A185" t="s">
        <v>26</v>
      </c>
      <c r="I185" t="s">
        <v>26</v>
      </c>
      <c r="R185" t="s">
        <v>26</v>
      </c>
      <c r="AA185" t="s">
        <v>26</v>
      </c>
      <c r="AJ185" t="s">
        <v>26</v>
      </c>
    </row>
    <row r="187" spans="1:36" x14ac:dyDescent="0.25">
      <c r="A187" t="s">
        <v>8</v>
      </c>
      <c r="I187" t="s">
        <v>8</v>
      </c>
      <c r="R187" t="s">
        <v>8</v>
      </c>
      <c r="AA187" t="s">
        <v>8</v>
      </c>
      <c r="AJ187" t="s">
        <v>8</v>
      </c>
    </row>
    <row r="188" spans="1:36" x14ac:dyDescent="0.25">
      <c r="A188" t="s">
        <v>9</v>
      </c>
      <c r="I188" t="s">
        <v>9</v>
      </c>
      <c r="R188" t="s">
        <v>9</v>
      </c>
      <c r="AA188" t="s">
        <v>9</v>
      </c>
      <c r="AJ188" t="s">
        <v>9</v>
      </c>
    </row>
    <row r="189" spans="1:36" x14ac:dyDescent="0.25">
      <c r="A189" t="s">
        <v>75</v>
      </c>
      <c r="I189" t="s">
        <v>232</v>
      </c>
      <c r="R189" t="s">
        <v>342</v>
      </c>
      <c r="AA189" t="s">
        <v>460</v>
      </c>
      <c r="AJ189" t="s">
        <v>577</v>
      </c>
    </row>
    <row r="190" spans="1:36" x14ac:dyDescent="0.25">
      <c r="A190" t="s">
        <v>28</v>
      </c>
      <c r="I190" t="s">
        <v>28</v>
      </c>
      <c r="R190" t="s">
        <v>28</v>
      </c>
      <c r="AA190" t="s">
        <v>28</v>
      </c>
      <c r="AJ190" t="s">
        <v>28</v>
      </c>
    </row>
    <row r="191" spans="1:36" x14ac:dyDescent="0.25">
      <c r="A191" t="s">
        <v>76</v>
      </c>
      <c r="I191" t="s">
        <v>233</v>
      </c>
      <c r="R191" t="s">
        <v>343</v>
      </c>
      <c r="AA191" t="s">
        <v>461</v>
      </c>
      <c r="AJ191" t="s">
        <v>578</v>
      </c>
    </row>
    <row r="192" spans="1:36" x14ac:dyDescent="0.25">
      <c r="A192" t="s">
        <v>30</v>
      </c>
      <c r="I192" t="s">
        <v>30</v>
      </c>
      <c r="R192" t="s">
        <v>30</v>
      </c>
      <c r="AA192" t="s">
        <v>30</v>
      </c>
      <c r="AJ192" t="s">
        <v>30</v>
      </c>
    </row>
    <row r="193" spans="1:36" x14ac:dyDescent="0.25">
      <c r="A193" t="s">
        <v>31</v>
      </c>
      <c r="I193" t="s">
        <v>31</v>
      </c>
      <c r="R193" t="s">
        <v>31</v>
      </c>
      <c r="AA193" t="s">
        <v>31</v>
      </c>
      <c r="AJ193" t="s">
        <v>31</v>
      </c>
    </row>
    <row r="194" spans="1:36" x14ac:dyDescent="0.25">
      <c r="A194" t="s">
        <v>32</v>
      </c>
      <c r="I194" t="s">
        <v>32</v>
      </c>
      <c r="R194" t="s">
        <v>32</v>
      </c>
      <c r="AA194" t="s">
        <v>32</v>
      </c>
      <c r="AJ194" t="s">
        <v>32</v>
      </c>
    </row>
    <row r="195" spans="1:36" x14ac:dyDescent="0.25">
      <c r="A195" t="s">
        <v>77</v>
      </c>
      <c r="I195" t="s">
        <v>234</v>
      </c>
      <c r="R195" t="s">
        <v>344</v>
      </c>
      <c r="AA195" t="s">
        <v>462</v>
      </c>
      <c r="AJ195" t="s">
        <v>579</v>
      </c>
    </row>
    <row r="196" spans="1:36" x14ac:dyDescent="0.25">
      <c r="A196" t="s">
        <v>34</v>
      </c>
      <c r="I196" t="s">
        <v>34</v>
      </c>
      <c r="R196" t="s">
        <v>34</v>
      </c>
      <c r="AA196" t="s">
        <v>34</v>
      </c>
      <c r="AJ196" t="s">
        <v>34</v>
      </c>
    </row>
    <row r="197" spans="1:36" x14ac:dyDescent="0.25">
      <c r="A197" t="s">
        <v>78</v>
      </c>
      <c r="I197" t="s">
        <v>235</v>
      </c>
      <c r="R197" t="s">
        <v>345</v>
      </c>
      <c r="AA197" t="s">
        <v>463</v>
      </c>
      <c r="AJ197" t="s">
        <v>580</v>
      </c>
    </row>
    <row r="198" spans="1:36" x14ac:dyDescent="0.25">
      <c r="A198" t="s">
        <v>36</v>
      </c>
      <c r="I198" t="s">
        <v>36</v>
      </c>
      <c r="R198" t="s">
        <v>36</v>
      </c>
      <c r="AA198" t="s">
        <v>36</v>
      </c>
      <c r="AJ198" t="s">
        <v>36</v>
      </c>
    </row>
    <row r="199" spans="1:36" x14ac:dyDescent="0.25">
      <c r="A199" t="s">
        <v>37</v>
      </c>
      <c r="I199" t="s">
        <v>37</v>
      </c>
      <c r="R199" t="s">
        <v>37</v>
      </c>
      <c r="AA199" t="s">
        <v>37</v>
      </c>
      <c r="AJ199" t="s">
        <v>37</v>
      </c>
    </row>
    <row r="200" spans="1:36" x14ac:dyDescent="0.25">
      <c r="A200" t="s">
        <v>38</v>
      </c>
      <c r="I200" t="s">
        <v>38</v>
      </c>
      <c r="R200" t="s">
        <v>38</v>
      </c>
      <c r="AA200" t="s">
        <v>38</v>
      </c>
      <c r="AJ200" t="s">
        <v>38</v>
      </c>
    </row>
    <row r="202" spans="1:36" x14ac:dyDescent="0.25">
      <c r="A202" t="s">
        <v>14</v>
      </c>
      <c r="I202" t="s">
        <v>14</v>
      </c>
      <c r="R202" t="s">
        <v>14</v>
      </c>
      <c r="AA202" t="s">
        <v>14</v>
      </c>
      <c r="AJ202" t="s">
        <v>14</v>
      </c>
    </row>
    <row r="203" spans="1:36" x14ac:dyDescent="0.25">
      <c r="A203" t="s">
        <v>15</v>
      </c>
      <c r="I203" t="s">
        <v>15</v>
      </c>
      <c r="R203" t="s">
        <v>15</v>
      </c>
      <c r="AA203" t="s">
        <v>15</v>
      </c>
      <c r="AJ203" t="s">
        <v>15</v>
      </c>
    </row>
    <row r="204" spans="1:36" x14ac:dyDescent="0.25">
      <c r="A204" t="s">
        <v>79</v>
      </c>
      <c r="I204" t="s">
        <v>236</v>
      </c>
      <c r="R204" t="s">
        <v>346</v>
      </c>
      <c r="AA204" t="s">
        <v>464</v>
      </c>
      <c r="AJ204" t="s">
        <v>581</v>
      </c>
    </row>
    <row r="205" spans="1:36" x14ac:dyDescent="0.25">
      <c r="A205" t="s">
        <v>16</v>
      </c>
      <c r="I205" t="s">
        <v>16</v>
      </c>
      <c r="R205" t="s">
        <v>16</v>
      </c>
      <c r="AA205" t="s">
        <v>16</v>
      </c>
      <c r="AJ205" t="s">
        <v>16</v>
      </c>
    </row>
    <row r="206" spans="1:36" x14ac:dyDescent="0.25">
      <c r="A206" t="s">
        <v>80</v>
      </c>
      <c r="I206" t="s">
        <v>237</v>
      </c>
      <c r="R206" t="s">
        <v>347</v>
      </c>
      <c r="AA206" t="s">
        <v>433</v>
      </c>
      <c r="AJ206" t="s">
        <v>582</v>
      </c>
    </row>
    <row r="207" spans="1:36" x14ac:dyDescent="0.25">
      <c r="A207" t="s">
        <v>18</v>
      </c>
      <c r="I207" t="s">
        <v>18</v>
      </c>
      <c r="R207" t="s">
        <v>18</v>
      </c>
      <c r="AA207" t="s">
        <v>18</v>
      </c>
      <c r="AJ207" t="s">
        <v>18</v>
      </c>
    </row>
    <row r="208" spans="1:36" x14ac:dyDescent="0.25">
      <c r="A208" t="s">
        <v>19</v>
      </c>
      <c r="I208" t="s">
        <v>19</v>
      </c>
      <c r="R208" t="s">
        <v>19</v>
      </c>
      <c r="AA208" t="s">
        <v>19</v>
      </c>
      <c r="AJ208" t="s">
        <v>19</v>
      </c>
    </row>
    <row r="209" spans="1:36" x14ac:dyDescent="0.25">
      <c r="A209" t="s">
        <v>20</v>
      </c>
      <c r="I209" t="s">
        <v>20</v>
      </c>
      <c r="R209" t="s">
        <v>20</v>
      </c>
      <c r="AA209" t="s">
        <v>20</v>
      </c>
      <c r="AJ209" t="s">
        <v>20</v>
      </c>
    </row>
    <row r="210" spans="1:36" x14ac:dyDescent="0.25">
      <c r="A210" t="s">
        <v>81</v>
      </c>
      <c r="I210" t="s">
        <v>238</v>
      </c>
      <c r="R210" t="s">
        <v>348</v>
      </c>
      <c r="AA210" t="s">
        <v>465</v>
      </c>
      <c r="AJ210" t="s">
        <v>583</v>
      </c>
    </row>
    <row r="211" spans="1:36" x14ac:dyDescent="0.25">
      <c r="A211" t="s">
        <v>22</v>
      </c>
      <c r="I211" t="s">
        <v>22</v>
      </c>
      <c r="R211" t="s">
        <v>22</v>
      </c>
      <c r="AA211" t="s">
        <v>22</v>
      </c>
      <c r="AJ211" t="s">
        <v>22</v>
      </c>
    </row>
    <row r="212" spans="1:36" x14ac:dyDescent="0.25">
      <c r="A212" t="s">
        <v>82</v>
      </c>
      <c r="I212" t="s">
        <v>239</v>
      </c>
      <c r="R212" t="s">
        <v>349</v>
      </c>
      <c r="AA212" t="s">
        <v>466</v>
      </c>
      <c r="AJ212" t="s">
        <v>584</v>
      </c>
    </row>
    <row r="213" spans="1:36" x14ac:dyDescent="0.25">
      <c r="A213" t="s">
        <v>24</v>
      </c>
      <c r="I213" t="s">
        <v>24</v>
      </c>
      <c r="R213" t="s">
        <v>24</v>
      </c>
      <c r="AA213" t="s">
        <v>24</v>
      </c>
      <c r="AJ213" t="s">
        <v>24</v>
      </c>
    </row>
    <row r="214" spans="1:36" x14ac:dyDescent="0.25">
      <c r="A214" t="s">
        <v>25</v>
      </c>
      <c r="I214" t="s">
        <v>25</v>
      </c>
      <c r="R214" t="s">
        <v>25</v>
      </c>
      <c r="AA214" t="s">
        <v>25</v>
      </c>
      <c r="AJ214" t="s">
        <v>25</v>
      </c>
    </row>
    <row r="215" spans="1:36" x14ac:dyDescent="0.25">
      <c r="A215" t="s">
        <v>26</v>
      </c>
      <c r="I215" t="s">
        <v>26</v>
      </c>
      <c r="R215" t="s">
        <v>26</v>
      </c>
      <c r="AA215" t="s">
        <v>26</v>
      </c>
      <c r="AJ215" t="s">
        <v>26</v>
      </c>
    </row>
    <row r="217" spans="1:36" x14ac:dyDescent="0.25">
      <c r="A217" t="s">
        <v>8</v>
      </c>
      <c r="I217" t="s">
        <v>8</v>
      </c>
      <c r="R217" t="s">
        <v>8</v>
      </c>
      <c r="AA217" t="s">
        <v>8</v>
      </c>
      <c r="AJ217" t="s">
        <v>8</v>
      </c>
    </row>
    <row r="218" spans="1:36" x14ac:dyDescent="0.25">
      <c r="A218" t="s">
        <v>9</v>
      </c>
      <c r="I218" t="s">
        <v>9</v>
      </c>
      <c r="R218" t="s">
        <v>9</v>
      </c>
      <c r="AA218" t="s">
        <v>9</v>
      </c>
      <c r="AJ218" t="s">
        <v>9</v>
      </c>
    </row>
    <row r="219" spans="1:36" x14ac:dyDescent="0.25">
      <c r="A219" t="s">
        <v>83</v>
      </c>
      <c r="I219" t="s">
        <v>240</v>
      </c>
      <c r="R219" t="s">
        <v>350</v>
      </c>
      <c r="AA219" t="s">
        <v>467</v>
      </c>
      <c r="AJ219" t="s">
        <v>585</v>
      </c>
    </row>
    <row r="220" spans="1:36" x14ac:dyDescent="0.25">
      <c r="A220" t="s">
        <v>28</v>
      </c>
      <c r="I220" t="s">
        <v>28</v>
      </c>
      <c r="R220" t="s">
        <v>28</v>
      </c>
      <c r="AA220" t="s">
        <v>28</v>
      </c>
      <c r="AJ220" t="s">
        <v>28</v>
      </c>
    </row>
    <row r="221" spans="1:36" x14ac:dyDescent="0.25">
      <c r="A221" t="s">
        <v>84</v>
      </c>
      <c r="I221" t="s">
        <v>241</v>
      </c>
      <c r="R221" t="s">
        <v>351</v>
      </c>
      <c r="AA221" t="s">
        <v>468</v>
      </c>
      <c r="AJ221" t="s">
        <v>586</v>
      </c>
    </row>
    <row r="222" spans="1:36" x14ac:dyDescent="0.25">
      <c r="A222" t="s">
        <v>30</v>
      </c>
      <c r="I222" t="s">
        <v>30</v>
      </c>
      <c r="R222" t="s">
        <v>30</v>
      </c>
      <c r="AA222" t="s">
        <v>30</v>
      </c>
      <c r="AJ222" t="s">
        <v>30</v>
      </c>
    </row>
    <row r="223" spans="1:36" x14ac:dyDescent="0.25">
      <c r="A223" t="s">
        <v>31</v>
      </c>
      <c r="I223" t="s">
        <v>31</v>
      </c>
      <c r="R223" t="s">
        <v>31</v>
      </c>
      <c r="AA223" t="s">
        <v>31</v>
      </c>
      <c r="AJ223" t="s">
        <v>31</v>
      </c>
    </row>
    <row r="224" spans="1:36" x14ac:dyDescent="0.25">
      <c r="A224" t="s">
        <v>32</v>
      </c>
      <c r="I224" t="s">
        <v>32</v>
      </c>
      <c r="R224" t="s">
        <v>32</v>
      </c>
      <c r="AA224" t="s">
        <v>32</v>
      </c>
      <c r="AJ224" t="s">
        <v>32</v>
      </c>
    </row>
    <row r="225" spans="1:36" x14ac:dyDescent="0.25">
      <c r="A225" t="s">
        <v>85</v>
      </c>
      <c r="I225" t="s">
        <v>242</v>
      </c>
      <c r="R225" t="s">
        <v>352</v>
      </c>
      <c r="AA225" t="s">
        <v>469</v>
      </c>
      <c r="AJ225" t="s">
        <v>587</v>
      </c>
    </row>
    <row r="226" spans="1:36" x14ac:dyDescent="0.25">
      <c r="A226" t="s">
        <v>34</v>
      </c>
      <c r="I226" t="s">
        <v>34</v>
      </c>
      <c r="R226" t="s">
        <v>34</v>
      </c>
      <c r="AA226" t="s">
        <v>34</v>
      </c>
      <c r="AJ226" t="s">
        <v>34</v>
      </c>
    </row>
    <row r="227" spans="1:36" x14ac:dyDescent="0.25">
      <c r="A227" t="s">
        <v>86</v>
      </c>
      <c r="I227" t="s">
        <v>243</v>
      </c>
      <c r="R227" t="s">
        <v>353</v>
      </c>
      <c r="AA227" t="s">
        <v>470</v>
      </c>
      <c r="AJ227" t="s">
        <v>588</v>
      </c>
    </row>
    <row r="228" spans="1:36" x14ac:dyDescent="0.25">
      <c r="A228" t="s">
        <v>36</v>
      </c>
      <c r="I228" t="s">
        <v>36</v>
      </c>
      <c r="R228" t="s">
        <v>36</v>
      </c>
      <c r="AA228" t="s">
        <v>36</v>
      </c>
      <c r="AJ228" t="s">
        <v>36</v>
      </c>
    </row>
    <row r="229" spans="1:36" x14ac:dyDescent="0.25">
      <c r="A229" t="s">
        <v>37</v>
      </c>
      <c r="I229" t="s">
        <v>37</v>
      </c>
      <c r="R229" t="s">
        <v>37</v>
      </c>
      <c r="AA229" t="s">
        <v>37</v>
      </c>
      <c r="AJ229" t="s">
        <v>37</v>
      </c>
    </row>
    <row r="230" spans="1:36" x14ac:dyDescent="0.25">
      <c r="A230" t="s">
        <v>38</v>
      </c>
      <c r="I230" t="s">
        <v>38</v>
      </c>
      <c r="R230" t="s">
        <v>38</v>
      </c>
      <c r="AA230" t="s">
        <v>38</v>
      </c>
      <c r="AJ230" t="s">
        <v>38</v>
      </c>
    </row>
    <row r="232" spans="1:36" x14ac:dyDescent="0.25">
      <c r="A232" t="s">
        <v>14</v>
      </c>
      <c r="I232" t="s">
        <v>14</v>
      </c>
      <c r="R232" t="s">
        <v>14</v>
      </c>
      <c r="AA232" t="s">
        <v>14</v>
      </c>
      <c r="AJ232" t="s">
        <v>14</v>
      </c>
    </row>
    <row r="233" spans="1:36" x14ac:dyDescent="0.25">
      <c r="A233" t="s">
        <v>15</v>
      </c>
      <c r="I233" t="s">
        <v>15</v>
      </c>
      <c r="R233" t="s">
        <v>15</v>
      </c>
      <c r="AA233" t="s">
        <v>15</v>
      </c>
      <c r="AJ233" t="s">
        <v>15</v>
      </c>
    </row>
    <row r="234" spans="1:36" x14ac:dyDescent="0.25">
      <c r="A234" t="s">
        <v>87</v>
      </c>
      <c r="I234" t="s">
        <v>244</v>
      </c>
      <c r="R234" t="s">
        <v>354</v>
      </c>
      <c r="AA234" t="s">
        <v>471</v>
      </c>
      <c r="AJ234" t="s">
        <v>589</v>
      </c>
    </row>
    <row r="235" spans="1:36" x14ac:dyDescent="0.25">
      <c r="A235" t="s">
        <v>16</v>
      </c>
      <c r="I235" t="s">
        <v>16</v>
      </c>
      <c r="R235" t="s">
        <v>16</v>
      </c>
      <c r="AA235" t="s">
        <v>16</v>
      </c>
      <c r="AJ235" t="s">
        <v>16</v>
      </c>
    </row>
    <row r="236" spans="1:36" x14ac:dyDescent="0.25">
      <c r="A236" t="s">
        <v>88</v>
      </c>
      <c r="I236" t="s">
        <v>229</v>
      </c>
      <c r="R236" t="s">
        <v>355</v>
      </c>
      <c r="AA236" t="s">
        <v>472</v>
      </c>
      <c r="AJ236" t="s">
        <v>590</v>
      </c>
    </row>
    <row r="237" spans="1:36" x14ac:dyDescent="0.25">
      <c r="A237" t="s">
        <v>18</v>
      </c>
      <c r="I237" t="s">
        <v>18</v>
      </c>
      <c r="R237" t="s">
        <v>18</v>
      </c>
      <c r="AA237" t="s">
        <v>18</v>
      </c>
      <c r="AJ237" t="s">
        <v>18</v>
      </c>
    </row>
    <row r="238" spans="1:36" x14ac:dyDescent="0.25">
      <c r="A238" t="s">
        <v>19</v>
      </c>
      <c r="I238" t="s">
        <v>19</v>
      </c>
      <c r="R238" t="s">
        <v>19</v>
      </c>
      <c r="AA238" t="s">
        <v>19</v>
      </c>
      <c r="AJ238" t="s">
        <v>19</v>
      </c>
    </row>
    <row r="239" spans="1:36" x14ac:dyDescent="0.25">
      <c r="A239" t="s">
        <v>20</v>
      </c>
      <c r="I239" t="s">
        <v>20</v>
      </c>
      <c r="R239" t="s">
        <v>20</v>
      </c>
      <c r="AA239" t="s">
        <v>20</v>
      </c>
      <c r="AJ239" t="s">
        <v>20</v>
      </c>
    </row>
    <row r="240" spans="1:36" x14ac:dyDescent="0.25">
      <c r="A240" t="s">
        <v>89</v>
      </c>
      <c r="I240" t="s">
        <v>245</v>
      </c>
      <c r="R240" t="s">
        <v>356</v>
      </c>
      <c r="AA240" t="s">
        <v>473</v>
      </c>
      <c r="AJ240" t="s">
        <v>591</v>
      </c>
    </row>
    <row r="241" spans="1:36" x14ac:dyDescent="0.25">
      <c r="A241" t="s">
        <v>22</v>
      </c>
      <c r="I241" t="s">
        <v>22</v>
      </c>
      <c r="R241" t="s">
        <v>22</v>
      </c>
      <c r="AA241" t="s">
        <v>22</v>
      </c>
      <c r="AJ241" t="s">
        <v>22</v>
      </c>
    </row>
    <row r="242" spans="1:36" x14ac:dyDescent="0.25">
      <c r="A242" t="s">
        <v>90</v>
      </c>
      <c r="I242" t="s">
        <v>246</v>
      </c>
      <c r="R242" t="s">
        <v>357</v>
      </c>
      <c r="AA242" t="s">
        <v>474</v>
      </c>
      <c r="AJ242" t="s">
        <v>592</v>
      </c>
    </row>
    <row r="243" spans="1:36" x14ac:dyDescent="0.25">
      <c r="A243" t="s">
        <v>24</v>
      </c>
      <c r="I243" t="s">
        <v>24</v>
      </c>
      <c r="R243" t="s">
        <v>24</v>
      </c>
      <c r="AA243" t="s">
        <v>24</v>
      </c>
      <c r="AJ243" t="s">
        <v>24</v>
      </c>
    </row>
    <row r="244" spans="1:36" x14ac:dyDescent="0.25">
      <c r="A244" t="s">
        <v>25</v>
      </c>
      <c r="I244" t="s">
        <v>25</v>
      </c>
      <c r="R244" t="s">
        <v>25</v>
      </c>
      <c r="AA244" t="s">
        <v>25</v>
      </c>
      <c r="AJ244" t="s">
        <v>25</v>
      </c>
    </row>
    <row r="245" spans="1:36" x14ac:dyDescent="0.25">
      <c r="A245" t="s">
        <v>26</v>
      </c>
      <c r="I245" t="s">
        <v>26</v>
      </c>
      <c r="R245" t="s">
        <v>26</v>
      </c>
      <c r="AA245" t="s">
        <v>26</v>
      </c>
      <c r="AJ245" t="s">
        <v>26</v>
      </c>
    </row>
    <row r="247" spans="1:36" x14ac:dyDescent="0.25">
      <c r="A247" t="s">
        <v>8</v>
      </c>
      <c r="I247" t="s">
        <v>8</v>
      </c>
      <c r="R247" t="s">
        <v>8</v>
      </c>
      <c r="AA247" t="s">
        <v>8</v>
      </c>
      <c r="AJ247" t="s">
        <v>8</v>
      </c>
    </row>
    <row r="248" spans="1:36" x14ac:dyDescent="0.25">
      <c r="A248" t="s">
        <v>9</v>
      </c>
      <c r="I248" t="s">
        <v>9</v>
      </c>
      <c r="R248" t="s">
        <v>9</v>
      </c>
      <c r="AA248" t="s">
        <v>9</v>
      </c>
      <c r="AJ248" t="s">
        <v>9</v>
      </c>
    </row>
    <row r="249" spans="1:36" x14ac:dyDescent="0.25">
      <c r="A249" t="s">
        <v>91</v>
      </c>
      <c r="I249" t="s">
        <v>247</v>
      </c>
      <c r="R249" t="s">
        <v>358</v>
      </c>
      <c r="AA249" t="s">
        <v>475</v>
      </c>
      <c r="AJ249" t="s">
        <v>593</v>
      </c>
    </row>
    <row r="250" spans="1:36" x14ac:dyDescent="0.25">
      <c r="A250" t="s">
        <v>28</v>
      </c>
      <c r="I250" t="s">
        <v>28</v>
      </c>
      <c r="R250" t="s">
        <v>28</v>
      </c>
      <c r="AA250" t="s">
        <v>28</v>
      </c>
      <c r="AJ250" t="s">
        <v>28</v>
      </c>
    </row>
    <row r="251" spans="1:36" x14ac:dyDescent="0.25">
      <c r="A251" t="s">
        <v>92</v>
      </c>
      <c r="I251" t="s">
        <v>233</v>
      </c>
      <c r="R251" t="s">
        <v>359</v>
      </c>
      <c r="AA251" t="s">
        <v>476</v>
      </c>
      <c r="AJ251" t="s">
        <v>594</v>
      </c>
    </row>
    <row r="252" spans="1:36" x14ac:dyDescent="0.25">
      <c r="A252" t="s">
        <v>30</v>
      </c>
      <c r="I252" t="s">
        <v>30</v>
      </c>
      <c r="R252" t="s">
        <v>30</v>
      </c>
      <c r="AA252" t="s">
        <v>30</v>
      </c>
      <c r="AJ252" t="s">
        <v>30</v>
      </c>
    </row>
    <row r="253" spans="1:36" x14ac:dyDescent="0.25">
      <c r="A253" t="s">
        <v>31</v>
      </c>
      <c r="I253" t="s">
        <v>31</v>
      </c>
      <c r="R253" t="s">
        <v>31</v>
      </c>
      <c r="AA253" t="s">
        <v>31</v>
      </c>
      <c r="AJ253" t="s">
        <v>31</v>
      </c>
    </row>
    <row r="254" spans="1:36" x14ac:dyDescent="0.25">
      <c r="A254" t="s">
        <v>32</v>
      </c>
      <c r="I254" t="s">
        <v>32</v>
      </c>
      <c r="R254" t="s">
        <v>32</v>
      </c>
      <c r="AA254" t="s">
        <v>32</v>
      </c>
      <c r="AJ254" t="s">
        <v>32</v>
      </c>
    </row>
    <row r="255" spans="1:36" x14ac:dyDescent="0.25">
      <c r="A255" t="s">
        <v>93</v>
      </c>
      <c r="I255" t="s">
        <v>226</v>
      </c>
      <c r="R255" t="s">
        <v>360</v>
      </c>
      <c r="AA255" t="s">
        <v>477</v>
      </c>
      <c r="AJ255" t="s">
        <v>595</v>
      </c>
    </row>
    <row r="256" spans="1:36" x14ac:dyDescent="0.25">
      <c r="A256" t="s">
        <v>34</v>
      </c>
      <c r="I256" t="s">
        <v>34</v>
      </c>
      <c r="R256" t="s">
        <v>34</v>
      </c>
      <c r="AA256" t="s">
        <v>34</v>
      </c>
      <c r="AJ256" t="s">
        <v>34</v>
      </c>
    </row>
    <row r="257" spans="1:36" x14ac:dyDescent="0.25">
      <c r="A257" t="s">
        <v>94</v>
      </c>
      <c r="I257" t="s">
        <v>227</v>
      </c>
      <c r="R257" t="s">
        <v>361</v>
      </c>
      <c r="AA257" t="s">
        <v>478</v>
      </c>
      <c r="AJ257" t="s">
        <v>596</v>
      </c>
    </row>
    <row r="258" spans="1:36" x14ac:dyDescent="0.25">
      <c r="A258" t="s">
        <v>36</v>
      </c>
      <c r="I258" t="s">
        <v>36</v>
      </c>
      <c r="R258" t="s">
        <v>36</v>
      </c>
      <c r="AA258" t="s">
        <v>36</v>
      </c>
      <c r="AJ258" t="s">
        <v>36</v>
      </c>
    </row>
    <row r="259" spans="1:36" x14ac:dyDescent="0.25">
      <c r="A259" t="s">
        <v>37</v>
      </c>
      <c r="I259" t="s">
        <v>37</v>
      </c>
      <c r="R259" t="s">
        <v>37</v>
      </c>
      <c r="AA259" t="s">
        <v>37</v>
      </c>
      <c r="AJ259" t="s">
        <v>37</v>
      </c>
    </row>
    <row r="260" spans="1:36" x14ac:dyDescent="0.25">
      <c r="A260" t="s">
        <v>38</v>
      </c>
      <c r="I260" t="s">
        <v>38</v>
      </c>
      <c r="R260" t="s">
        <v>38</v>
      </c>
      <c r="AA260" t="s">
        <v>38</v>
      </c>
      <c r="AJ260" t="s">
        <v>38</v>
      </c>
    </row>
    <row r="262" spans="1:36" x14ac:dyDescent="0.25">
      <c r="A262" t="s">
        <v>14</v>
      </c>
      <c r="I262" t="s">
        <v>14</v>
      </c>
      <c r="R262" t="s">
        <v>14</v>
      </c>
      <c r="AA262" t="s">
        <v>14</v>
      </c>
      <c r="AJ262" t="s">
        <v>14</v>
      </c>
    </row>
    <row r="263" spans="1:36" x14ac:dyDescent="0.25">
      <c r="A263" t="s">
        <v>15</v>
      </c>
      <c r="I263" t="s">
        <v>15</v>
      </c>
      <c r="R263" t="s">
        <v>15</v>
      </c>
      <c r="AA263" t="s">
        <v>15</v>
      </c>
      <c r="AJ263" t="s">
        <v>15</v>
      </c>
    </row>
    <row r="264" spans="1:36" x14ac:dyDescent="0.25">
      <c r="A264" t="s">
        <v>95</v>
      </c>
      <c r="I264" t="s">
        <v>248</v>
      </c>
      <c r="R264" t="s">
        <v>362</v>
      </c>
      <c r="AA264" t="s">
        <v>479</v>
      </c>
      <c r="AJ264" t="s">
        <v>597</v>
      </c>
    </row>
    <row r="265" spans="1:36" x14ac:dyDescent="0.25">
      <c r="A265" t="s">
        <v>16</v>
      </c>
      <c r="I265" t="s">
        <v>16</v>
      </c>
      <c r="R265" t="s">
        <v>16</v>
      </c>
      <c r="AA265" t="s">
        <v>16</v>
      </c>
      <c r="AJ265" t="s">
        <v>16</v>
      </c>
    </row>
    <row r="266" spans="1:36" x14ac:dyDescent="0.25">
      <c r="A266" t="s">
        <v>96</v>
      </c>
      <c r="I266" t="s">
        <v>249</v>
      </c>
      <c r="R266" t="s">
        <v>363</v>
      </c>
      <c r="AA266" t="s">
        <v>480</v>
      </c>
      <c r="AJ266" t="s">
        <v>598</v>
      </c>
    </row>
    <row r="267" spans="1:36" x14ac:dyDescent="0.25">
      <c r="A267" t="s">
        <v>18</v>
      </c>
      <c r="I267" t="s">
        <v>18</v>
      </c>
      <c r="R267" t="s">
        <v>18</v>
      </c>
      <c r="AA267" t="s">
        <v>18</v>
      </c>
      <c r="AJ267" t="s">
        <v>18</v>
      </c>
    </row>
    <row r="268" spans="1:36" x14ac:dyDescent="0.25">
      <c r="A268" t="s">
        <v>19</v>
      </c>
      <c r="I268" t="s">
        <v>19</v>
      </c>
      <c r="R268" t="s">
        <v>19</v>
      </c>
      <c r="AA268" t="s">
        <v>19</v>
      </c>
      <c r="AJ268" t="s">
        <v>19</v>
      </c>
    </row>
    <row r="269" spans="1:36" x14ac:dyDescent="0.25">
      <c r="A269" t="s">
        <v>20</v>
      </c>
      <c r="I269" t="s">
        <v>20</v>
      </c>
      <c r="R269" t="s">
        <v>20</v>
      </c>
      <c r="AA269" t="s">
        <v>20</v>
      </c>
      <c r="AJ269" t="s">
        <v>20</v>
      </c>
    </row>
    <row r="270" spans="1:36" x14ac:dyDescent="0.25">
      <c r="A270" t="s">
        <v>97</v>
      </c>
      <c r="I270" t="s">
        <v>250</v>
      </c>
      <c r="R270" t="s">
        <v>364</v>
      </c>
      <c r="AA270" t="s">
        <v>481</v>
      </c>
      <c r="AJ270" t="s">
        <v>599</v>
      </c>
    </row>
    <row r="271" spans="1:36" x14ac:dyDescent="0.25">
      <c r="A271" t="s">
        <v>22</v>
      </c>
      <c r="I271" t="s">
        <v>22</v>
      </c>
      <c r="R271" t="s">
        <v>22</v>
      </c>
      <c r="AA271" t="s">
        <v>22</v>
      </c>
      <c r="AJ271" t="s">
        <v>22</v>
      </c>
    </row>
    <row r="272" spans="1:36" x14ac:dyDescent="0.25">
      <c r="A272" t="s">
        <v>98</v>
      </c>
      <c r="I272" t="s">
        <v>251</v>
      </c>
      <c r="R272" t="s">
        <v>365</v>
      </c>
      <c r="AA272" t="s">
        <v>482</v>
      </c>
      <c r="AJ272" t="s">
        <v>600</v>
      </c>
    </row>
    <row r="273" spans="1:36" x14ac:dyDescent="0.25">
      <c r="A273" t="s">
        <v>24</v>
      </c>
      <c r="I273" t="s">
        <v>24</v>
      </c>
      <c r="R273" t="s">
        <v>24</v>
      </c>
      <c r="AA273" t="s">
        <v>24</v>
      </c>
      <c r="AJ273" t="s">
        <v>24</v>
      </c>
    </row>
    <row r="274" spans="1:36" x14ac:dyDescent="0.25">
      <c r="A274" t="s">
        <v>25</v>
      </c>
      <c r="I274" t="s">
        <v>25</v>
      </c>
      <c r="R274" t="s">
        <v>25</v>
      </c>
      <c r="AA274" t="s">
        <v>25</v>
      </c>
      <c r="AJ274" t="s">
        <v>25</v>
      </c>
    </row>
    <row r="275" spans="1:36" x14ac:dyDescent="0.25">
      <c r="A275" t="s">
        <v>26</v>
      </c>
      <c r="I275" t="s">
        <v>26</v>
      </c>
      <c r="R275" t="s">
        <v>26</v>
      </c>
      <c r="AA275" t="s">
        <v>26</v>
      </c>
      <c r="AJ275" t="s">
        <v>26</v>
      </c>
    </row>
    <row r="277" spans="1:36" x14ac:dyDescent="0.25">
      <c r="A277" t="s">
        <v>8</v>
      </c>
      <c r="I277" t="s">
        <v>8</v>
      </c>
      <c r="R277" t="s">
        <v>8</v>
      </c>
      <c r="AA277" t="s">
        <v>8</v>
      </c>
      <c r="AJ277" t="s">
        <v>8</v>
      </c>
    </row>
    <row r="278" spans="1:36" x14ac:dyDescent="0.25">
      <c r="A278" t="s">
        <v>9</v>
      </c>
      <c r="I278" t="s">
        <v>9</v>
      </c>
      <c r="R278" t="s">
        <v>9</v>
      </c>
      <c r="AA278" t="s">
        <v>9</v>
      </c>
      <c r="AJ278" t="s">
        <v>9</v>
      </c>
    </row>
    <row r="279" spans="1:36" x14ac:dyDescent="0.25">
      <c r="A279" t="s">
        <v>99</v>
      </c>
      <c r="I279" t="s">
        <v>252</v>
      </c>
      <c r="R279" t="s">
        <v>366</v>
      </c>
      <c r="AA279" t="s">
        <v>483</v>
      </c>
      <c r="AJ279" t="s">
        <v>601</v>
      </c>
    </row>
    <row r="280" spans="1:36" x14ac:dyDescent="0.25">
      <c r="A280" t="s">
        <v>28</v>
      </c>
      <c r="I280" t="s">
        <v>28</v>
      </c>
      <c r="R280" t="s">
        <v>28</v>
      </c>
      <c r="AA280" t="s">
        <v>28</v>
      </c>
      <c r="AJ280" t="s">
        <v>28</v>
      </c>
    </row>
    <row r="281" spans="1:36" x14ac:dyDescent="0.25">
      <c r="A281" t="s">
        <v>100</v>
      </c>
      <c r="I281" t="s">
        <v>253</v>
      </c>
      <c r="R281" t="s">
        <v>359</v>
      </c>
      <c r="AA281" t="s">
        <v>484</v>
      </c>
      <c r="AJ281" t="s">
        <v>602</v>
      </c>
    </row>
    <row r="282" spans="1:36" x14ac:dyDescent="0.25">
      <c r="A282" t="s">
        <v>30</v>
      </c>
      <c r="I282" t="s">
        <v>30</v>
      </c>
      <c r="R282" t="s">
        <v>30</v>
      </c>
      <c r="AA282" t="s">
        <v>30</v>
      </c>
      <c r="AJ282" t="s">
        <v>30</v>
      </c>
    </row>
    <row r="283" spans="1:36" x14ac:dyDescent="0.25">
      <c r="A283" t="s">
        <v>31</v>
      </c>
      <c r="I283" t="s">
        <v>31</v>
      </c>
      <c r="R283" t="s">
        <v>31</v>
      </c>
      <c r="AA283" t="s">
        <v>31</v>
      </c>
      <c r="AJ283" t="s">
        <v>31</v>
      </c>
    </row>
    <row r="284" spans="1:36" x14ac:dyDescent="0.25">
      <c r="A284" t="s">
        <v>32</v>
      </c>
      <c r="I284" t="s">
        <v>32</v>
      </c>
      <c r="R284" t="s">
        <v>32</v>
      </c>
      <c r="AA284" t="s">
        <v>32</v>
      </c>
      <c r="AJ284" t="s">
        <v>32</v>
      </c>
    </row>
    <row r="285" spans="1:36" x14ac:dyDescent="0.25">
      <c r="A285" t="s">
        <v>101</v>
      </c>
      <c r="I285" t="s">
        <v>254</v>
      </c>
      <c r="R285" t="s">
        <v>367</v>
      </c>
      <c r="AA285" t="s">
        <v>485</v>
      </c>
      <c r="AJ285" t="s">
        <v>603</v>
      </c>
    </row>
    <row r="286" spans="1:36" x14ac:dyDescent="0.25">
      <c r="A286" t="s">
        <v>34</v>
      </c>
      <c r="I286" t="s">
        <v>34</v>
      </c>
      <c r="R286" t="s">
        <v>34</v>
      </c>
      <c r="AA286" t="s">
        <v>34</v>
      </c>
      <c r="AJ286" t="s">
        <v>34</v>
      </c>
    </row>
    <row r="287" spans="1:36" x14ac:dyDescent="0.25">
      <c r="A287" t="s">
        <v>102</v>
      </c>
      <c r="I287" t="s">
        <v>255</v>
      </c>
      <c r="R287" t="s">
        <v>368</v>
      </c>
      <c r="AA287" t="s">
        <v>486</v>
      </c>
      <c r="AJ287" t="s">
        <v>604</v>
      </c>
    </row>
    <row r="288" spans="1:36" x14ac:dyDescent="0.25">
      <c r="A288" t="s">
        <v>36</v>
      </c>
      <c r="I288" t="s">
        <v>36</v>
      </c>
      <c r="R288" t="s">
        <v>36</v>
      </c>
      <c r="AA288" t="s">
        <v>36</v>
      </c>
      <c r="AJ288" t="s">
        <v>36</v>
      </c>
    </row>
    <row r="289" spans="1:36" x14ac:dyDescent="0.25">
      <c r="A289" t="s">
        <v>37</v>
      </c>
      <c r="I289" t="s">
        <v>37</v>
      </c>
      <c r="R289" t="s">
        <v>37</v>
      </c>
      <c r="AA289" t="s">
        <v>37</v>
      </c>
      <c r="AJ289" t="s">
        <v>37</v>
      </c>
    </row>
    <row r="290" spans="1:36" x14ac:dyDescent="0.25">
      <c r="A290" t="s">
        <v>38</v>
      </c>
      <c r="I290" t="s">
        <v>38</v>
      </c>
      <c r="R290" t="s">
        <v>38</v>
      </c>
      <c r="AA290" t="s">
        <v>38</v>
      </c>
      <c r="AJ290" t="s">
        <v>38</v>
      </c>
    </row>
    <row r="292" spans="1:36" x14ac:dyDescent="0.25">
      <c r="A292" t="s">
        <v>14</v>
      </c>
      <c r="I292" t="s">
        <v>14</v>
      </c>
      <c r="R292" t="s">
        <v>14</v>
      </c>
      <c r="AA292" t="s">
        <v>14</v>
      </c>
      <c r="AJ292" t="s">
        <v>14</v>
      </c>
    </row>
    <row r="293" spans="1:36" x14ac:dyDescent="0.25">
      <c r="A293" t="s">
        <v>15</v>
      </c>
      <c r="I293" t="s">
        <v>15</v>
      </c>
      <c r="R293" t="s">
        <v>15</v>
      </c>
      <c r="AA293" t="s">
        <v>15</v>
      </c>
      <c r="AJ293" t="s">
        <v>15</v>
      </c>
    </row>
    <row r="294" spans="1:36" x14ac:dyDescent="0.25">
      <c r="A294" t="s">
        <v>103</v>
      </c>
      <c r="I294" t="s">
        <v>256</v>
      </c>
      <c r="R294" t="s">
        <v>369</v>
      </c>
      <c r="AA294" t="s">
        <v>487</v>
      </c>
      <c r="AJ294" t="s">
        <v>605</v>
      </c>
    </row>
    <row r="295" spans="1:36" x14ac:dyDescent="0.25">
      <c r="A295" t="s">
        <v>16</v>
      </c>
      <c r="I295" t="s">
        <v>16</v>
      </c>
      <c r="R295" t="s">
        <v>16</v>
      </c>
      <c r="AA295" t="s">
        <v>16</v>
      </c>
      <c r="AJ295" t="s">
        <v>16</v>
      </c>
    </row>
    <row r="296" spans="1:36" x14ac:dyDescent="0.25">
      <c r="A296" t="s">
        <v>48</v>
      </c>
      <c r="I296" t="s">
        <v>257</v>
      </c>
      <c r="R296" t="s">
        <v>370</v>
      </c>
      <c r="AA296" t="s">
        <v>457</v>
      </c>
      <c r="AJ296" t="s">
        <v>606</v>
      </c>
    </row>
    <row r="297" spans="1:36" x14ac:dyDescent="0.25">
      <c r="A297" t="s">
        <v>18</v>
      </c>
      <c r="I297" t="s">
        <v>18</v>
      </c>
      <c r="R297" t="s">
        <v>18</v>
      </c>
      <c r="AA297" t="s">
        <v>18</v>
      </c>
      <c r="AJ297" t="s">
        <v>18</v>
      </c>
    </row>
    <row r="298" spans="1:36" x14ac:dyDescent="0.25">
      <c r="A298" t="s">
        <v>19</v>
      </c>
      <c r="I298" t="s">
        <v>19</v>
      </c>
      <c r="R298" t="s">
        <v>19</v>
      </c>
      <c r="AA298" t="s">
        <v>19</v>
      </c>
      <c r="AJ298" t="s">
        <v>19</v>
      </c>
    </row>
    <row r="299" spans="1:36" x14ac:dyDescent="0.25">
      <c r="A299" t="s">
        <v>20</v>
      </c>
      <c r="I299" t="s">
        <v>20</v>
      </c>
      <c r="R299" t="s">
        <v>20</v>
      </c>
      <c r="AA299" t="s">
        <v>20</v>
      </c>
      <c r="AJ299" t="s">
        <v>20</v>
      </c>
    </row>
    <row r="300" spans="1:36" x14ac:dyDescent="0.25">
      <c r="A300" t="s">
        <v>104</v>
      </c>
      <c r="I300" t="s">
        <v>258</v>
      </c>
      <c r="R300" t="s">
        <v>371</v>
      </c>
      <c r="AA300" t="s">
        <v>488</v>
      </c>
      <c r="AJ300" t="s">
        <v>607</v>
      </c>
    </row>
    <row r="301" spans="1:36" x14ac:dyDescent="0.25">
      <c r="A301" t="s">
        <v>22</v>
      </c>
      <c r="I301" t="s">
        <v>22</v>
      </c>
      <c r="R301" t="s">
        <v>22</v>
      </c>
      <c r="AA301" t="s">
        <v>22</v>
      </c>
      <c r="AJ301" t="s">
        <v>22</v>
      </c>
    </row>
    <row r="302" spans="1:36" x14ac:dyDescent="0.25">
      <c r="A302" t="s">
        <v>105</v>
      </c>
      <c r="I302" t="s">
        <v>259</v>
      </c>
      <c r="R302" t="s">
        <v>372</v>
      </c>
      <c r="AA302" t="s">
        <v>489</v>
      </c>
      <c r="AJ302" t="s">
        <v>608</v>
      </c>
    </row>
    <row r="303" spans="1:36" x14ac:dyDescent="0.25">
      <c r="A303" t="s">
        <v>24</v>
      </c>
      <c r="I303" t="s">
        <v>24</v>
      </c>
      <c r="R303" t="s">
        <v>24</v>
      </c>
      <c r="AA303" t="s">
        <v>24</v>
      </c>
      <c r="AJ303" t="s">
        <v>24</v>
      </c>
    </row>
    <row r="304" spans="1:36" x14ac:dyDescent="0.25">
      <c r="A304" t="s">
        <v>25</v>
      </c>
      <c r="I304" t="s">
        <v>25</v>
      </c>
      <c r="R304" t="s">
        <v>25</v>
      </c>
      <c r="AA304" t="s">
        <v>25</v>
      </c>
      <c r="AJ304" t="s">
        <v>25</v>
      </c>
    </row>
    <row r="305" spans="1:36" x14ac:dyDescent="0.25">
      <c r="A305" t="s">
        <v>26</v>
      </c>
      <c r="I305" t="s">
        <v>26</v>
      </c>
      <c r="R305" t="s">
        <v>26</v>
      </c>
      <c r="AA305" t="s">
        <v>26</v>
      </c>
      <c r="AJ305" t="s">
        <v>26</v>
      </c>
    </row>
    <row r="307" spans="1:36" x14ac:dyDescent="0.25">
      <c r="A307" t="s">
        <v>8</v>
      </c>
      <c r="I307" t="s">
        <v>8</v>
      </c>
      <c r="R307" t="s">
        <v>8</v>
      </c>
      <c r="AA307" t="s">
        <v>8</v>
      </c>
      <c r="AJ307" t="s">
        <v>8</v>
      </c>
    </row>
    <row r="308" spans="1:36" x14ac:dyDescent="0.25">
      <c r="A308" t="s">
        <v>9</v>
      </c>
      <c r="I308" t="s">
        <v>9</v>
      </c>
      <c r="R308" t="s">
        <v>9</v>
      </c>
      <c r="AA308" t="s">
        <v>9</v>
      </c>
      <c r="AJ308" t="s">
        <v>9</v>
      </c>
    </row>
    <row r="309" spans="1:36" x14ac:dyDescent="0.25">
      <c r="A309" t="s">
        <v>106</v>
      </c>
      <c r="I309" t="s">
        <v>260</v>
      </c>
      <c r="R309" t="s">
        <v>373</v>
      </c>
      <c r="AA309" t="s">
        <v>490</v>
      </c>
      <c r="AJ309" t="s">
        <v>609</v>
      </c>
    </row>
    <row r="310" spans="1:36" x14ac:dyDescent="0.25">
      <c r="A310" t="s">
        <v>28</v>
      </c>
      <c r="I310" t="s">
        <v>28</v>
      </c>
      <c r="R310" t="s">
        <v>28</v>
      </c>
      <c r="AA310" t="s">
        <v>28</v>
      </c>
      <c r="AJ310" t="s">
        <v>28</v>
      </c>
    </row>
    <row r="311" spans="1:36" x14ac:dyDescent="0.25">
      <c r="A311" t="s">
        <v>107</v>
      </c>
      <c r="I311" t="s">
        <v>261</v>
      </c>
      <c r="R311" t="s">
        <v>374</v>
      </c>
      <c r="AA311" t="s">
        <v>491</v>
      </c>
      <c r="AJ311" t="s">
        <v>610</v>
      </c>
    </row>
    <row r="312" spans="1:36" x14ac:dyDescent="0.25">
      <c r="A312" t="s">
        <v>30</v>
      </c>
      <c r="I312" t="s">
        <v>30</v>
      </c>
      <c r="R312" t="s">
        <v>30</v>
      </c>
      <c r="AA312" t="s">
        <v>30</v>
      </c>
      <c r="AJ312" t="s">
        <v>30</v>
      </c>
    </row>
    <row r="313" spans="1:36" x14ac:dyDescent="0.25">
      <c r="A313" t="s">
        <v>31</v>
      </c>
      <c r="I313" t="s">
        <v>31</v>
      </c>
      <c r="R313" t="s">
        <v>31</v>
      </c>
      <c r="AA313" t="s">
        <v>31</v>
      </c>
      <c r="AJ313" t="s">
        <v>31</v>
      </c>
    </row>
    <row r="314" spans="1:36" x14ac:dyDescent="0.25">
      <c r="A314" t="s">
        <v>32</v>
      </c>
      <c r="I314" t="s">
        <v>32</v>
      </c>
      <c r="R314" t="s">
        <v>32</v>
      </c>
      <c r="AA314" t="s">
        <v>32</v>
      </c>
      <c r="AJ314" t="s">
        <v>32</v>
      </c>
    </row>
    <row r="315" spans="1:36" x14ac:dyDescent="0.25">
      <c r="A315" t="s">
        <v>108</v>
      </c>
      <c r="I315" t="s">
        <v>262</v>
      </c>
      <c r="R315" t="s">
        <v>375</v>
      </c>
      <c r="AA315" t="s">
        <v>492</v>
      </c>
      <c r="AJ315" t="s">
        <v>611</v>
      </c>
    </row>
    <row r="316" spans="1:36" x14ac:dyDescent="0.25">
      <c r="A316" t="s">
        <v>34</v>
      </c>
      <c r="I316" t="s">
        <v>34</v>
      </c>
      <c r="R316" t="s">
        <v>34</v>
      </c>
      <c r="AA316" t="s">
        <v>34</v>
      </c>
      <c r="AJ316" t="s">
        <v>34</v>
      </c>
    </row>
    <row r="317" spans="1:36" x14ac:dyDescent="0.25">
      <c r="A317" t="s">
        <v>109</v>
      </c>
      <c r="I317" t="s">
        <v>263</v>
      </c>
      <c r="R317" t="s">
        <v>376</v>
      </c>
      <c r="AA317" t="s">
        <v>493</v>
      </c>
      <c r="AJ317" t="s">
        <v>612</v>
      </c>
    </row>
    <row r="318" spans="1:36" x14ac:dyDescent="0.25">
      <c r="A318" t="s">
        <v>36</v>
      </c>
      <c r="I318" t="s">
        <v>36</v>
      </c>
      <c r="R318" t="s">
        <v>36</v>
      </c>
      <c r="AA318" t="s">
        <v>36</v>
      </c>
      <c r="AJ318" t="s">
        <v>36</v>
      </c>
    </row>
    <row r="319" spans="1:36" x14ac:dyDescent="0.25">
      <c r="A319" t="s">
        <v>37</v>
      </c>
      <c r="I319" t="s">
        <v>37</v>
      </c>
      <c r="R319" t="s">
        <v>37</v>
      </c>
      <c r="AA319" t="s">
        <v>37</v>
      </c>
      <c r="AJ319" t="s">
        <v>37</v>
      </c>
    </row>
    <row r="320" spans="1:36" x14ac:dyDescent="0.25">
      <c r="A320" t="s">
        <v>38</v>
      </c>
      <c r="I320" t="s">
        <v>38</v>
      </c>
      <c r="R320" t="s">
        <v>38</v>
      </c>
      <c r="AA320" t="s">
        <v>38</v>
      </c>
      <c r="AJ320" t="s">
        <v>38</v>
      </c>
    </row>
    <row r="322" spans="1:36" x14ac:dyDescent="0.25">
      <c r="A322" t="s">
        <v>14</v>
      </c>
      <c r="I322" t="s">
        <v>14</v>
      </c>
      <c r="R322" t="s">
        <v>14</v>
      </c>
      <c r="AA322" t="s">
        <v>14</v>
      </c>
      <c r="AJ322" t="s">
        <v>14</v>
      </c>
    </row>
    <row r="323" spans="1:36" x14ac:dyDescent="0.25">
      <c r="A323" t="s">
        <v>15</v>
      </c>
      <c r="I323" t="s">
        <v>15</v>
      </c>
      <c r="R323" t="s">
        <v>15</v>
      </c>
      <c r="AA323" t="s">
        <v>15</v>
      </c>
      <c r="AJ323" t="s">
        <v>15</v>
      </c>
    </row>
    <row r="324" spans="1:36" x14ac:dyDescent="0.25">
      <c r="A324" t="s">
        <v>110</v>
      </c>
      <c r="I324" t="s">
        <v>264</v>
      </c>
      <c r="R324" t="s">
        <v>377</v>
      </c>
      <c r="AA324" t="s">
        <v>494</v>
      </c>
      <c r="AJ324" t="s">
        <v>613</v>
      </c>
    </row>
    <row r="325" spans="1:36" x14ac:dyDescent="0.25">
      <c r="A325" t="s">
        <v>16</v>
      </c>
      <c r="I325" t="s">
        <v>16</v>
      </c>
      <c r="R325" t="s">
        <v>16</v>
      </c>
      <c r="AA325" t="s">
        <v>16</v>
      </c>
      <c r="AJ325" t="s">
        <v>16</v>
      </c>
    </row>
    <row r="326" spans="1:36" x14ac:dyDescent="0.25">
      <c r="A326" t="s">
        <v>111</v>
      </c>
      <c r="I326" t="s">
        <v>265</v>
      </c>
      <c r="R326" t="s">
        <v>378</v>
      </c>
      <c r="AA326" t="s">
        <v>495</v>
      </c>
      <c r="AJ326" t="s">
        <v>614</v>
      </c>
    </row>
    <row r="327" spans="1:36" x14ac:dyDescent="0.25">
      <c r="A327" t="s">
        <v>18</v>
      </c>
      <c r="I327" t="s">
        <v>18</v>
      </c>
      <c r="R327" t="s">
        <v>18</v>
      </c>
      <c r="AA327" t="s">
        <v>18</v>
      </c>
      <c r="AJ327" t="s">
        <v>18</v>
      </c>
    </row>
    <row r="328" spans="1:36" x14ac:dyDescent="0.25">
      <c r="A328" t="s">
        <v>19</v>
      </c>
      <c r="I328" t="s">
        <v>19</v>
      </c>
      <c r="R328" t="s">
        <v>19</v>
      </c>
      <c r="AA328" t="s">
        <v>19</v>
      </c>
      <c r="AJ328" t="s">
        <v>19</v>
      </c>
    </row>
    <row r="329" spans="1:36" x14ac:dyDescent="0.25">
      <c r="A329" t="s">
        <v>20</v>
      </c>
      <c r="I329" t="s">
        <v>20</v>
      </c>
      <c r="R329" t="s">
        <v>20</v>
      </c>
      <c r="AA329" t="s">
        <v>20</v>
      </c>
      <c r="AJ329" t="s">
        <v>20</v>
      </c>
    </row>
    <row r="330" spans="1:36" x14ac:dyDescent="0.25">
      <c r="A330" t="s">
        <v>112</v>
      </c>
      <c r="I330" t="s">
        <v>97</v>
      </c>
      <c r="R330" t="s">
        <v>379</v>
      </c>
      <c r="AA330" t="s">
        <v>496</v>
      </c>
      <c r="AJ330" t="s">
        <v>615</v>
      </c>
    </row>
    <row r="331" spans="1:36" x14ac:dyDescent="0.25">
      <c r="A331" t="s">
        <v>22</v>
      </c>
      <c r="I331" t="s">
        <v>22</v>
      </c>
      <c r="R331" t="s">
        <v>22</v>
      </c>
      <c r="AA331" t="s">
        <v>22</v>
      </c>
      <c r="AJ331" t="s">
        <v>22</v>
      </c>
    </row>
    <row r="332" spans="1:36" x14ac:dyDescent="0.25">
      <c r="A332" t="s">
        <v>113</v>
      </c>
      <c r="I332" t="s">
        <v>98</v>
      </c>
      <c r="R332" t="s">
        <v>380</v>
      </c>
      <c r="AA332" t="s">
        <v>497</v>
      </c>
      <c r="AJ332" t="s">
        <v>616</v>
      </c>
    </row>
    <row r="333" spans="1:36" x14ac:dyDescent="0.25">
      <c r="A333" t="s">
        <v>24</v>
      </c>
      <c r="I333" t="s">
        <v>24</v>
      </c>
      <c r="R333" t="s">
        <v>24</v>
      </c>
      <c r="AA333" t="s">
        <v>24</v>
      </c>
      <c r="AJ333" t="s">
        <v>24</v>
      </c>
    </row>
    <row r="334" spans="1:36" x14ac:dyDescent="0.25">
      <c r="A334" t="s">
        <v>25</v>
      </c>
      <c r="I334" t="s">
        <v>25</v>
      </c>
      <c r="R334" t="s">
        <v>25</v>
      </c>
      <c r="AA334" t="s">
        <v>25</v>
      </c>
      <c r="AJ334" t="s">
        <v>25</v>
      </c>
    </row>
    <row r="335" spans="1:36" x14ac:dyDescent="0.25">
      <c r="A335" t="s">
        <v>26</v>
      </c>
      <c r="I335" t="s">
        <v>26</v>
      </c>
      <c r="R335" t="s">
        <v>26</v>
      </c>
      <c r="AA335" t="s">
        <v>26</v>
      </c>
      <c r="AJ335" t="s">
        <v>26</v>
      </c>
    </row>
    <row r="337" spans="1:36" x14ac:dyDescent="0.25">
      <c r="A337" t="s">
        <v>8</v>
      </c>
      <c r="I337" t="s">
        <v>8</v>
      </c>
      <c r="R337" t="s">
        <v>8</v>
      </c>
      <c r="AA337" t="s">
        <v>8</v>
      </c>
      <c r="AJ337" t="s">
        <v>8</v>
      </c>
    </row>
    <row r="338" spans="1:36" x14ac:dyDescent="0.25">
      <c r="A338" t="s">
        <v>9</v>
      </c>
      <c r="I338" t="s">
        <v>9</v>
      </c>
      <c r="R338" t="s">
        <v>9</v>
      </c>
      <c r="AA338" t="s">
        <v>9</v>
      </c>
      <c r="AJ338" t="s">
        <v>9</v>
      </c>
    </row>
    <row r="339" spans="1:36" x14ac:dyDescent="0.25">
      <c r="A339" t="s">
        <v>114</v>
      </c>
      <c r="I339" t="s">
        <v>266</v>
      </c>
      <c r="R339" t="s">
        <v>381</v>
      </c>
      <c r="AA339" t="s">
        <v>498</v>
      </c>
      <c r="AJ339" t="s">
        <v>617</v>
      </c>
    </row>
    <row r="340" spans="1:36" x14ac:dyDescent="0.25">
      <c r="A340" t="s">
        <v>28</v>
      </c>
      <c r="I340" t="s">
        <v>28</v>
      </c>
      <c r="R340" t="s">
        <v>28</v>
      </c>
      <c r="AA340" t="s">
        <v>28</v>
      </c>
      <c r="AJ340" t="s">
        <v>28</v>
      </c>
    </row>
    <row r="341" spans="1:36" x14ac:dyDescent="0.25">
      <c r="A341" t="s">
        <v>115</v>
      </c>
      <c r="I341" t="s">
        <v>267</v>
      </c>
      <c r="R341" t="s">
        <v>382</v>
      </c>
      <c r="AA341" t="s">
        <v>499</v>
      </c>
      <c r="AJ341" t="s">
        <v>618</v>
      </c>
    </row>
    <row r="342" spans="1:36" x14ac:dyDescent="0.25">
      <c r="A342" t="s">
        <v>30</v>
      </c>
      <c r="I342" t="s">
        <v>30</v>
      </c>
      <c r="R342" t="s">
        <v>30</v>
      </c>
      <c r="AA342" t="s">
        <v>30</v>
      </c>
      <c r="AJ342" t="s">
        <v>30</v>
      </c>
    </row>
    <row r="343" spans="1:36" x14ac:dyDescent="0.25">
      <c r="A343" t="s">
        <v>31</v>
      </c>
      <c r="I343" t="s">
        <v>31</v>
      </c>
      <c r="R343" t="s">
        <v>31</v>
      </c>
      <c r="AA343" t="s">
        <v>31</v>
      </c>
      <c r="AJ343" t="s">
        <v>31</v>
      </c>
    </row>
    <row r="344" spans="1:36" x14ac:dyDescent="0.25">
      <c r="A344" t="s">
        <v>32</v>
      </c>
      <c r="I344" t="s">
        <v>32</v>
      </c>
      <c r="R344" t="s">
        <v>32</v>
      </c>
      <c r="AA344" t="s">
        <v>32</v>
      </c>
      <c r="AJ344" t="s">
        <v>32</v>
      </c>
    </row>
    <row r="345" spans="1:36" x14ac:dyDescent="0.25">
      <c r="A345" t="s">
        <v>116</v>
      </c>
      <c r="I345" t="s">
        <v>268</v>
      </c>
      <c r="R345" t="s">
        <v>383</v>
      </c>
      <c r="AA345" t="s">
        <v>500</v>
      </c>
      <c r="AJ345" t="s">
        <v>619</v>
      </c>
    </row>
    <row r="346" spans="1:36" x14ac:dyDescent="0.25">
      <c r="A346" t="s">
        <v>34</v>
      </c>
      <c r="I346" t="s">
        <v>34</v>
      </c>
      <c r="R346" t="s">
        <v>34</v>
      </c>
      <c r="AA346" t="s">
        <v>34</v>
      </c>
      <c r="AJ346" t="s">
        <v>34</v>
      </c>
    </row>
    <row r="347" spans="1:36" x14ac:dyDescent="0.25">
      <c r="A347" t="s">
        <v>117</v>
      </c>
      <c r="I347" t="s">
        <v>269</v>
      </c>
      <c r="R347" t="s">
        <v>384</v>
      </c>
      <c r="AA347" t="s">
        <v>501</v>
      </c>
      <c r="AJ347" t="s">
        <v>620</v>
      </c>
    </row>
    <row r="348" spans="1:36" x14ac:dyDescent="0.25">
      <c r="A348" t="s">
        <v>36</v>
      </c>
      <c r="I348" t="s">
        <v>36</v>
      </c>
      <c r="R348" t="s">
        <v>36</v>
      </c>
      <c r="AA348" t="s">
        <v>36</v>
      </c>
      <c r="AJ348" t="s">
        <v>36</v>
      </c>
    </row>
    <row r="349" spans="1:36" x14ac:dyDescent="0.25">
      <c r="A349" t="s">
        <v>37</v>
      </c>
      <c r="I349" t="s">
        <v>37</v>
      </c>
      <c r="R349" t="s">
        <v>37</v>
      </c>
      <c r="AA349" t="s">
        <v>37</v>
      </c>
      <c r="AJ349" t="s">
        <v>37</v>
      </c>
    </row>
    <row r="350" spans="1:36" x14ac:dyDescent="0.25">
      <c r="A350" t="s">
        <v>38</v>
      </c>
      <c r="I350" t="s">
        <v>38</v>
      </c>
      <c r="R350" t="s">
        <v>38</v>
      </c>
      <c r="AA350" t="s">
        <v>38</v>
      </c>
      <c r="AJ350" t="s">
        <v>38</v>
      </c>
    </row>
    <row r="352" spans="1:36" x14ac:dyDescent="0.25">
      <c r="A352" t="s">
        <v>14</v>
      </c>
      <c r="I352" t="s">
        <v>14</v>
      </c>
      <c r="R352" t="s">
        <v>14</v>
      </c>
      <c r="AA352" t="s">
        <v>14</v>
      </c>
      <c r="AJ352" t="s">
        <v>14</v>
      </c>
    </row>
    <row r="353" spans="1:36" x14ac:dyDescent="0.25">
      <c r="A353" t="s">
        <v>15</v>
      </c>
      <c r="I353" t="s">
        <v>15</v>
      </c>
      <c r="R353" t="s">
        <v>15</v>
      </c>
      <c r="AA353" t="s">
        <v>15</v>
      </c>
      <c r="AJ353" t="s">
        <v>15</v>
      </c>
    </row>
    <row r="354" spans="1:36" x14ac:dyDescent="0.25">
      <c r="A354" t="s">
        <v>118</v>
      </c>
      <c r="I354" t="s">
        <v>270</v>
      </c>
      <c r="R354" t="s">
        <v>385</v>
      </c>
      <c r="AA354" t="s">
        <v>502</v>
      </c>
      <c r="AJ354" t="s">
        <v>621</v>
      </c>
    </row>
    <row r="355" spans="1:36" x14ac:dyDescent="0.25">
      <c r="A355" t="s">
        <v>16</v>
      </c>
      <c r="I355" t="s">
        <v>16</v>
      </c>
      <c r="R355" t="s">
        <v>16</v>
      </c>
      <c r="AA355" t="s">
        <v>16</v>
      </c>
      <c r="AJ355" t="s">
        <v>16</v>
      </c>
    </row>
    <row r="356" spans="1:36" x14ac:dyDescent="0.25">
      <c r="A356" t="s">
        <v>119</v>
      </c>
      <c r="I356" t="s">
        <v>271</v>
      </c>
      <c r="R356" t="s">
        <v>386</v>
      </c>
      <c r="AA356" t="s">
        <v>503</v>
      </c>
      <c r="AJ356" t="s">
        <v>614</v>
      </c>
    </row>
    <row r="357" spans="1:36" x14ac:dyDescent="0.25">
      <c r="A357" t="s">
        <v>18</v>
      </c>
      <c r="I357" t="s">
        <v>18</v>
      </c>
      <c r="R357" t="s">
        <v>18</v>
      </c>
      <c r="AA357" t="s">
        <v>18</v>
      </c>
      <c r="AJ357" t="s">
        <v>18</v>
      </c>
    </row>
    <row r="358" spans="1:36" x14ac:dyDescent="0.25">
      <c r="A358" t="s">
        <v>19</v>
      </c>
      <c r="I358" t="s">
        <v>19</v>
      </c>
      <c r="R358" t="s">
        <v>19</v>
      </c>
      <c r="AA358" t="s">
        <v>19</v>
      </c>
      <c r="AJ358" t="s">
        <v>19</v>
      </c>
    </row>
    <row r="359" spans="1:36" x14ac:dyDescent="0.25">
      <c r="A359" t="s">
        <v>20</v>
      </c>
      <c r="I359" t="s">
        <v>20</v>
      </c>
      <c r="R359" t="s">
        <v>20</v>
      </c>
      <c r="AA359" t="s">
        <v>20</v>
      </c>
      <c r="AJ359" t="s">
        <v>20</v>
      </c>
    </row>
    <row r="360" spans="1:36" x14ac:dyDescent="0.25">
      <c r="A360" t="s">
        <v>120</v>
      </c>
      <c r="I360" t="s">
        <v>272</v>
      </c>
      <c r="R360" t="s">
        <v>348</v>
      </c>
      <c r="AA360" t="s">
        <v>504</v>
      </c>
      <c r="AJ360" t="s">
        <v>622</v>
      </c>
    </row>
    <row r="361" spans="1:36" x14ac:dyDescent="0.25">
      <c r="A361" t="s">
        <v>22</v>
      </c>
      <c r="I361" t="s">
        <v>22</v>
      </c>
      <c r="R361" t="s">
        <v>22</v>
      </c>
      <c r="AA361" t="s">
        <v>22</v>
      </c>
      <c r="AJ361" t="s">
        <v>22</v>
      </c>
    </row>
    <row r="362" spans="1:36" x14ac:dyDescent="0.25">
      <c r="A362" t="s">
        <v>121</v>
      </c>
      <c r="I362" t="s">
        <v>273</v>
      </c>
      <c r="R362" t="s">
        <v>349</v>
      </c>
      <c r="AA362" t="s">
        <v>505</v>
      </c>
      <c r="AJ362" t="s">
        <v>623</v>
      </c>
    </row>
    <row r="363" spans="1:36" x14ac:dyDescent="0.25">
      <c r="A363" t="s">
        <v>24</v>
      </c>
      <c r="I363" t="s">
        <v>24</v>
      </c>
      <c r="R363" t="s">
        <v>24</v>
      </c>
      <c r="AA363" t="s">
        <v>24</v>
      </c>
      <c r="AJ363" t="s">
        <v>24</v>
      </c>
    </row>
    <row r="364" spans="1:36" x14ac:dyDescent="0.25">
      <c r="A364" t="s">
        <v>25</v>
      </c>
      <c r="I364" t="s">
        <v>25</v>
      </c>
      <c r="R364" t="s">
        <v>25</v>
      </c>
      <c r="AA364" t="s">
        <v>25</v>
      </c>
      <c r="AJ364" t="s">
        <v>25</v>
      </c>
    </row>
    <row r="365" spans="1:36" x14ac:dyDescent="0.25">
      <c r="A365" t="s">
        <v>26</v>
      </c>
      <c r="I365" t="s">
        <v>26</v>
      </c>
      <c r="R365" t="s">
        <v>26</v>
      </c>
      <c r="AA365" t="s">
        <v>26</v>
      </c>
      <c r="AJ365" t="s">
        <v>26</v>
      </c>
    </row>
    <row r="367" spans="1:36" x14ac:dyDescent="0.25">
      <c r="A367" t="s">
        <v>8</v>
      </c>
      <c r="I367" t="s">
        <v>8</v>
      </c>
      <c r="R367" t="s">
        <v>8</v>
      </c>
      <c r="AA367" t="s">
        <v>8</v>
      </c>
      <c r="AJ367" t="s">
        <v>8</v>
      </c>
    </row>
    <row r="368" spans="1:36" x14ac:dyDescent="0.25">
      <c r="A368" t="s">
        <v>9</v>
      </c>
      <c r="I368" t="s">
        <v>9</v>
      </c>
      <c r="R368" t="s">
        <v>9</v>
      </c>
      <c r="AA368" t="s">
        <v>9</v>
      </c>
      <c r="AJ368" t="s">
        <v>9</v>
      </c>
    </row>
    <row r="369" spans="1:36" x14ac:dyDescent="0.25">
      <c r="A369" t="s">
        <v>122</v>
      </c>
      <c r="I369" t="s">
        <v>274</v>
      </c>
      <c r="R369" t="s">
        <v>387</v>
      </c>
      <c r="AA369" t="s">
        <v>506</v>
      </c>
      <c r="AJ369" t="s">
        <v>624</v>
      </c>
    </row>
    <row r="370" spans="1:36" x14ac:dyDescent="0.25">
      <c r="A370" t="s">
        <v>28</v>
      </c>
      <c r="I370" t="s">
        <v>28</v>
      </c>
      <c r="R370" t="s">
        <v>28</v>
      </c>
      <c r="AA370" t="s">
        <v>28</v>
      </c>
      <c r="AJ370" t="s">
        <v>28</v>
      </c>
    </row>
    <row r="371" spans="1:36" x14ac:dyDescent="0.25">
      <c r="A371" t="s">
        <v>123</v>
      </c>
      <c r="I371" t="s">
        <v>275</v>
      </c>
      <c r="R371" t="s">
        <v>388</v>
      </c>
      <c r="AA371" t="s">
        <v>507</v>
      </c>
      <c r="AJ371" t="s">
        <v>625</v>
      </c>
    </row>
    <row r="372" spans="1:36" x14ac:dyDescent="0.25">
      <c r="A372" t="s">
        <v>30</v>
      </c>
      <c r="I372" t="s">
        <v>30</v>
      </c>
      <c r="R372" t="s">
        <v>30</v>
      </c>
      <c r="AA372" t="s">
        <v>30</v>
      </c>
      <c r="AJ372" t="s">
        <v>30</v>
      </c>
    </row>
    <row r="373" spans="1:36" x14ac:dyDescent="0.25">
      <c r="A373" t="s">
        <v>31</v>
      </c>
      <c r="I373" t="s">
        <v>31</v>
      </c>
      <c r="R373" t="s">
        <v>31</v>
      </c>
      <c r="AA373" t="s">
        <v>31</v>
      </c>
      <c r="AJ373" t="s">
        <v>31</v>
      </c>
    </row>
    <row r="374" spans="1:36" x14ac:dyDescent="0.25">
      <c r="A374" t="s">
        <v>32</v>
      </c>
      <c r="I374" t="s">
        <v>32</v>
      </c>
      <c r="R374" t="s">
        <v>32</v>
      </c>
      <c r="AA374" t="s">
        <v>32</v>
      </c>
      <c r="AJ374" t="s">
        <v>32</v>
      </c>
    </row>
    <row r="375" spans="1:36" x14ac:dyDescent="0.25">
      <c r="A375" t="s">
        <v>124</v>
      </c>
      <c r="I375" t="s">
        <v>202</v>
      </c>
      <c r="R375" t="s">
        <v>389</v>
      </c>
      <c r="AA375" t="s">
        <v>508</v>
      </c>
      <c r="AJ375" t="s">
        <v>626</v>
      </c>
    </row>
    <row r="376" spans="1:36" x14ac:dyDescent="0.25">
      <c r="A376" t="s">
        <v>34</v>
      </c>
      <c r="I376" t="s">
        <v>34</v>
      </c>
      <c r="R376" t="s">
        <v>34</v>
      </c>
      <c r="AA376" t="s">
        <v>34</v>
      </c>
      <c r="AJ376" t="s">
        <v>34</v>
      </c>
    </row>
    <row r="377" spans="1:36" x14ac:dyDescent="0.25">
      <c r="A377" t="s">
        <v>125</v>
      </c>
      <c r="I377" t="s">
        <v>203</v>
      </c>
      <c r="R377" t="s">
        <v>390</v>
      </c>
      <c r="AA377" t="s">
        <v>509</v>
      </c>
      <c r="AJ377" t="s">
        <v>627</v>
      </c>
    </row>
    <row r="378" spans="1:36" x14ac:dyDescent="0.25">
      <c r="A378" t="s">
        <v>36</v>
      </c>
      <c r="I378" t="s">
        <v>36</v>
      </c>
      <c r="R378" t="s">
        <v>36</v>
      </c>
      <c r="AA378" t="s">
        <v>36</v>
      </c>
      <c r="AJ378" t="s">
        <v>36</v>
      </c>
    </row>
    <row r="379" spans="1:36" x14ac:dyDescent="0.25">
      <c r="A379" t="s">
        <v>37</v>
      </c>
      <c r="I379" t="s">
        <v>37</v>
      </c>
      <c r="R379" t="s">
        <v>37</v>
      </c>
      <c r="AA379" t="s">
        <v>37</v>
      </c>
      <c r="AJ379" t="s">
        <v>37</v>
      </c>
    </row>
    <row r="380" spans="1:36" x14ac:dyDescent="0.25">
      <c r="A380" t="s">
        <v>38</v>
      </c>
      <c r="I380" t="s">
        <v>38</v>
      </c>
      <c r="R380" t="s">
        <v>38</v>
      </c>
      <c r="AA380" t="s">
        <v>38</v>
      </c>
      <c r="AJ380" t="s">
        <v>38</v>
      </c>
    </row>
    <row r="382" spans="1:36" x14ac:dyDescent="0.25">
      <c r="A382" t="s">
        <v>14</v>
      </c>
      <c r="I382" t="s">
        <v>14</v>
      </c>
      <c r="R382" t="s">
        <v>14</v>
      </c>
      <c r="AA382" t="s">
        <v>14</v>
      </c>
      <c r="AJ382" t="s">
        <v>14</v>
      </c>
    </row>
    <row r="383" spans="1:36" x14ac:dyDescent="0.25">
      <c r="A383" t="s">
        <v>15</v>
      </c>
      <c r="I383" t="s">
        <v>15</v>
      </c>
      <c r="R383" t="s">
        <v>15</v>
      </c>
      <c r="AA383" t="s">
        <v>15</v>
      </c>
      <c r="AJ383" t="s">
        <v>15</v>
      </c>
    </row>
    <row r="384" spans="1:36" x14ac:dyDescent="0.25">
      <c r="A384" t="s">
        <v>126</v>
      </c>
      <c r="I384" t="s">
        <v>276</v>
      </c>
      <c r="R384" t="s">
        <v>391</v>
      </c>
      <c r="AA384" t="s">
        <v>510</v>
      </c>
      <c r="AJ384" t="s">
        <v>628</v>
      </c>
    </row>
    <row r="385" spans="1:36" x14ac:dyDescent="0.25">
      <c r="A385" t="s">
        <v>16</v>
      </c>
      <c r="I385" t="s">
        <v>16</v>
      </c>
      <c r="R385" t="s">
        <v>16</v>
      </c>
      <c r="AA385" t="s">
        <v>16</v>
      </c>
      <c r="AJ385" t="s">
        <v>16</v>
      </c>
    </row>
    <row r="386" spans="1:36" x14ac:dyDescent="0.25">
      <c r="A386" t="s">
        <v>127</v>
      </c>
      <c r="I386" t="s">
        <v>277</v>
      </c>
      <c r="R386" t="s">
        <v>392</v>
      </c>
      <c r="AA386" t="s">
        <v>511</v>
      </c>
      <c r="AJ386" t="s">
        <v>629</v>
      </c>
    </row>
    <row r="387" spans="1:36" x14ac:dyDescent="0.25">
      <c r="A387" t="s">
        <v>18</v>
      </c>
      <c r="I387" t="s">
        <v>18</v>
      </c>
      <c r="R387" t="s">
        <v>18</v>
      </c>
      <c r="AA387" t="s">
        <v>18</v>
      </c>
      <c r="AJ387" t="s">
        <v>18</v>
      </c>
    </row>
    <row r="388" spans="1:36" x14ac:dyDescent="0.25">
      <c r="A388" t="s">
        <v>19</v>
      </c>
      <c r="I388" t="s">
        <v>19</v>
      </c>
      <c r="R388" t="s">
        <v>19</v>
      </c>
      <c r="AA388" t="s">
        <v>19</v>
      </c>
      <c r="AJ388" t="s">
        <v>19</v>
      </c>
    </row>
    <row r="389" spans="1:36" x14ac:dyDescent="0.25">
      <c r="A389" t="s">
        <v>20</v>
      </c>
      <c r="I389" t="s">
        <v>20</v>
      </c>
      <c r="R389" t="s">
        <v>20</v>
      </c>
      <c r="AA389" t="s">
        <v>20</v>
      </c>
      <c r="AJ389" t="s">
        <v>20</v>
      </c>
    </row>
    <row r="390" spans="1:36" x14ac:dyDescent="0.25">
      <c r="A390" t="s">
        <v>128</v>
      </c>
      <c r="I390" t="s">
        <v>278</v>
      </c>
      <c r="R390" t="s">
        <v>393</v>
      </c>
      <c r="AA390" t="s">
        <v>512</v>
      </c>
      <c r="AJ390" t="s">
        <v>630</v>
      </c>
    </row>
    <row r="391" spans="1:36" x14ac:dyDescent="0.25">
      <c r="A391" t="s">
        <v>22</v>
      </c>
      <c r="I391" t="s">
        <v>22</v>
      </c>
      <c r="R391" t="s">
        <v>22</v>
      </c>
      <c r="AA391" t="s">
        <v>22</v>
      </c>
      <c r="AJ391" t="s">
        <v>22</v>
      </c>
    </row>
    <row r="392" spans="1:36" x14ac:dyDescent="0.25">
      <c r="A392" t="s">
        <v>129</v>
      </c>
      <c r="I392" t="s">
        <v>279</v>
      </c>
      <c r="R392" t="s">
        <v>394</v>
      </c>
      <c r="AA392" t="s">
        <v>513</v>
      </c>
      <c r="AJ392" t="s">
        <v>631</v>
      </c>
    </row>
    <row r="393" spans="1:36" x14ac:dyDescent="0.25">
      <c r="A393" t="s">
        <v>24</v>
      </c>
      <c r="I393" t="s">
        <v>24</v>
      </c>
      <c r="R393" t="s">
        <v>24</v>
      </c>
      <c r="AA393" t="s">
        <v>24</v>
      </c>
      <c r="AJ393" t="s">
        <v>24</v>
      </c>
    </row>
    <row r="394" spans="1:36" x14ac:dyDescent="0.25">
      <c r="A394" t="s">
        <v>25</v>
      </c>
      <c r="I394" t="s">
        <v>25</v>
      </c>
      <c r="R394" t="s">
        <v>25</v>
      </c>
      <c r="AA394" t="s">
        <v>25</v>
      </c>
      <c r="AJ394" t="s">
        <v>25</v>
      </c>
    </row>
    <row r="395" spans="1:36" x14ac:dyDescent="0.25">
      <c r="A395" t="s">
        <v>26</v>
      </c>
      <c r="I395" t="s">
        <v>26</v>
      </c>
      <c r="R395" t="s">
        <v>26</v>
      </c>
      <c r="AA395" t="s">
        <v>26</v>
      </c>
      <c r="AJ395" t="s">
        <v>26</v>
      </c>
    </row>
    <row r="397" spans="1:36" x14ac:dyDescent="0.25">
      <c r="A397" t="s">
        <v>8</v>
      </c>
      <c r="I397" t="s">
        <v>8</v>
      </c>
      <c r="R397" t="s">
        <v>8</v>
      </c>
      <c r="AA397" t="s">
        <v>8</v>
      </c>
      <c r="AJ397" t="s">
        <v>8</v>
      </c>
    </row>
    <row r="398" spans="1:36" x14ac:dyDescent="0.25">
      <c r="A398" t="s">
        <v>9</v>
      </c>
      <c r="I398" t="s">
        <v>9</v>
      </c>
      <c r="R398" t="s">
        <v>9</v>
      </c>
      <c r="AA398" t="s">
        <v>9</v>
      </c>
      <c r="AJ398" t="s">
        <v>9</v>
      </c>
    </row>
    <row r="399" spans="1:36" x14ac:dyDescent="0.25">
      <c r="A399" t="s">
        <v>130</v>
      </c>
      <c r="I399" t="s">
        <v>280</v>
      </c>
      <c r="R399" t="s">
        <v>395</v>
      </c>
      <c r="AA399" t="s">
        <v>514</v>
      </c>
      <c r="AJ399" t="s">
        <v>632</v>
      </c>
    </row>
    <row r="400" spans="1:36" x14ac:dyDescent="0.25">
      <c r="A400" t="s">
        <v>28</v>
      </c>
      <c r="I400" t="s">
        <v>28</v>
      </c>
      <c r="R400" t="s">
        <v>28</v>
      </c>
      <c r="AA400" t="s">
        <v>28</v>
      </c>
      <c r="AJ400" t="s">
        <v>28</v>
      </c>
    </row>
    <row r="401" spans="1:36" x14ac:dyDescent="0.25">
      <c r="A401" t="s">
        <v>44</v>
      </c>
      <c r="I401" t="s">
        <v>275</v>
      </c>
      <c r="R401" t="s">
        <v>396</v>
      </c>
      <c r="AA401" t="s">
        <v>429</v>
      </c>
      <c r="AJ401" t="s">
        <v>633</v>
      </c>
    </row>
    <row r="402" spans="1:36" x14ac:dyDescent="0.25">
      <c r="A402" t="s">
        <v>30</v>
      </c>
      <c r="I402" t="s">
        <v>30</v>
      </c>
      <c r="R402" t="s">
        <v>30</v>
      </c>
      <c r="AA402" t="s">
        <v>30</v>
      </c>
      <c r="AJ402" t="s">
        <v>30</v>
      </c>
    </row>
    <row r="403" spans="1:36" x14ac:dyDescent="0.25">
      <c r="A403" t="s">
        <v>31</v>
      </c>
      <c r="I403" t="s">
        <v>31</v>
      </c>
      <c r="R403" t="s">
        <v>31</v>
      </c>
      <c r="AA403" t="s">
        <v>31</v>
      </c>
      <c r="AJ403" t="s">
        <v>31</v>
      </c>
    </row>
    <row r="404" spans="1:36" x14ac:dyDescent="0.25">
      <c r="A404" t="s">
        <v>32</v>
      </c>
      <c r="I404" t="s">
        <v>32</v>
      </c>
      <c r="R404" t="s">
        <v>32</v>
      </c>
      <c r="AA404" t="s">
        <v>32</v>
      </c>
      <c r="AJ404" t="s">
        <v>32</v>
      </c>
    </row>
    <row r="405" spans="1:36" x14ac:dyDescent="0.25">
      <c r="A405" t="s">
        <v>131</v>
      </c>
      <c r="I405" t="s">
        <v>281</v>
      </c>
      <c r="R405" t="s">
        <v>397</v>
      </c>
      <c r="AA405" t="s">
        <v>515</v>
      </c>
      <c r="AJ405" t="s">
        <v>634</v>
      </c>
    </row>
    <row r="406" spans="1:36" x14ac:dyDescent="0.25">
      <c r="A406" t="s">
        <v>34</v>
      </c>
      <c r="I406" t="s">
        <v>34</v>
      </c>
      <c r="R406" t="s">
        <v>34</v>
      </c>
      <c r="AA406" t="s">
        <v>34</v>
      </c>
      <c r="AJ406" t="s">
        <v>34</v>
      </c>
    </row>
    <row r="407" spans="1:36" x14ac:dyDescent="0.25">
      <c r="A407" t="s">
        <v>132</v>
      </c>
      <c r="I407" t="s">
        <v>282</v>
      </c>
      <c r="R407" t="s">
        <v>398</v>
      </c>
      <c r="AA407" t="s">
        <v>516</v>
      </c>
      <c r="AJ407" t="s">
        <v>635</v>
      </c>
    </row>
    <row r="408" spans="1:36" x14ac:dyDescent="0.25">
      <c r="A408" t="s">
        <v>36</v>
      </c>
      <c r="I408" t="s">
        <v>36</v>
      </c>
      <c r="R408" t="s">
        <v>36</v>
      </c>
      <c r="AA408" t="s">
        <v>36</v>
      </c>
      <c r="AJ408" t="s">
        <v>36</v>
      </c>
    </row>
    <row r="409" spans="1:36" x14ac:dyDescent="0.25">
      <c r="A409" t="s">
        <v>37</v>
      </c>
      <c r="I409" t="s">
        <v>37</v>
      </c>
      <c r="R409" t="s">
        <v>37</v>
      </c>
      <c r="AA409" t="s">
        <v>37</v>
      </c>
      <c r="AJ409" t="s">
        <v>37</v>
      </c>
    </row>
    <row r="410" spans="1:36" x14ac:dyDescent="0.25">
      <c r="A410" t="s">
        <v>38</v>
      </c>
      <c r="I410" t="s">
        <v>38</v>
      </c>
      <c r="R410" t="s">
        <v>38</v>
      </c>
      <c r="AA410" t="s">
        <v>38</v>
      </c>
      <c r="AJ410" t="s">
        <v>38</v>
      </c>
    </row>
    <row r="412" spans="1:36" x14ac:dyDescent="0.25">
      <c r="A412" t="s">
        <v>14</v>
      </c>
      <c r="I412" t="s">
        <v>14</v>
      </c>
      <c r="R412" t="s">
        <v>14</v>
      </c>
      <c r="AA412" t="s">
        <v>14</v>
      </c>
      <c r="AJ412" t="s">
        <v>14</v>
      </c>
    </row>
    <row r="413" spans="1:36" x14ac:dyDescent="0.25">
      <c r="A413" t="s">
        <v>15</v>
      </c>
      <c r="I413" t="s">
        <v>15</v>
      </c>
      <c r="R413" t="s">
        <v>15</v>
      </c>
      <c r="AA413" t="s">
        <v>15</v>
      </c>
      <c r="AJ413" t="s">
        <v>15</v>
      </c>
    </row>
    <row r="414" spans="1:36" x14ac:dyDescent="0.25">
      <c r="A414" t="s">
        <v>133</v>
      </c>
      <c r="I414" t="s">
        <v>283</v>
      </c>
      <c r="R414" t="s">
        <v>399</v>
      </c>
      <c r="AA414" t="s">
        <v>517</v>
      </c>
      <c r="AJ414" t="s">
        <v>636</v>
      </c>
    </row>
    <row r="415" spans="1:36" x14ac:dyDescent="0.25">
      <c r="A415" t="s">
        <v>16</v>
      </c>
      <c r="I415" t="s">
        <v>16</v>
      </c>
      <c r="R415" t="s">
        <v>16</v>
      </c>
      <c r="AA415" t="s">
        <v>16</v>
      </c>
      <c r="AJ415" t="s">
        <v>16</v>
      </c>
    </row>
    <row r="416" spans="1:36" x14ac:dyDescent="0.25">
      <c r="A416" t="s">
        <v>134</v>
      </c>
      <c r="I416" t="s">
        <v>284</v>
      </c>
      <c r="R416" t="s">
        <v>400</v>
      </c>
      <c r="AA416" t="s">
        <v>518</v>
      </c>
      <c r="AJ416" t="s">
        <v>637</v>
      </c>
    </row>
    <row r="417" spans="1:36" x14ac:dyDescent="0.25">
      <c r="A417" t="s">
        <v>18</v>
      </c>
      <c r="I417" t="s">
        <v>18</v>
      </c>
      <c r="R417" t="s">
        <v>18</v>
      </c>
      <c r="AA417" t="s">
        <v>18</v>
      </c>
      <c r="AJ417" t="s">
        <v>18</v>
      </c>
    </row>
    <row r="418" spans="1:36" x14ac:dyDescent="0.25">
      <c r="A418" t="s">
        <v>19</v>
      </c>
      <c r="I418" t="s">
        <v>19</v>
      </c>
      <c r="R418" t="s">
        <v>19</v>
      </c>
      <c r="AA418" t="s">
        <v>19</v>
      </c>
      <c r="AJ418" t="s">
        <v>19</v>
      </c>
    </row>
    <row r="419" spans="1:36" x14ac:dyDescent="0.25">
      <c r="A419" t="s">
        <v>20</v>
      </c>
      <c r="I419" t="s">
        <v>20</v>
      </c>
      <c r="R419" t="s">
        <v>20</v>
      </c>
      <c r="AA419" t="s">
        <v>20</v>
      </c>
      <c r="AJ419" t="s">
        <v>20</v>
      </c>
    </row>
    <row r="420" spans="1:36" x14ac:dyDescent="0.25">
      <c r="A420" t="s">
        <v>135</v>
      </c>
      <c r="I420" t="s">
        <v>285</v>
      </c>
      <c r="R420" t="s">
        <v>401</v>
      </c>
      <c r="AA420" t="s">
        <v>519</v>
      </c>
      <c r="AJ420" t="s">
        <v>591</v>
      </c>
    </row>
    <row r="421" spans="1:36" x14ac:dyDescent="0.25">
      <c r="A421" t="s">
        <v>22</v>
      </c>
      <c r="I421" t="s">
        <v>22</v>
      </c>
      <c r="R421" t="s">
        <v>22</v>
      </c>
      <c r="AA421" t="s">
        <v>22</v>
      </c>
      <c r="AJ421" t="s">
        <v>22</v>
      </c>
    </row>
    <row r="422" spans="1:36" x14ac:dyDescent="0.25">
      <c r="A422" t="s">
        <v>136</v>
      </c>
      <c r="I422" t="s">
        <v>286</v>
      </c>
      <c r="R422" t="s">
        <v>402</v>
      </c>
      <c r="AA422" t="s">
        <v>520</v>
      </c>
      <c r="AJ422" t="s">
        <v>592</v>
      </c>
    </row>
    <row r="423" spans="1:36" x14ac:dyDescent="0.25">
      <c r="A423" t="s">
        <v>24</v>
      </c>
      <c r="I423" t="s">
        <v>24</v>
      </c>
      <c r="R423" t="s">
        <v>24</v>
      </c>
      <c r="AA423" t="s">
        <v>24</v>
      </c>
      <c r="AJ423" t="s">
        <v>24</v>
      </c>
    </row>
    <row r="424" spans="1:36" x14ac:dyDescent="0.25">
      <c r="A424" t="s">
        <v>25</v>
      </c>
      <c r="I424" t="s">
        <v>25</v>
      </c>
      <c r="R424" t="s">
        <v>25</v>
      </c>
      <c r="AA424" t="s">
        <v>25</v>
      </c>
      <c r="AJ424" t="s">
        <v>25</v>
      </c>
    </row>
    <row r="425" spans="1:36" x14ac:dyDescent="0.25">
      <c r="A425" t="s">
        <v>26</v>
      </c>
      <c r="I425" t="s">
        <v>26</v>
      </c>
      <c r="R425" t="s">
        <v>26</v>
      </c>
      <c r="AA425" t="s">
        <v>26</v>
      </c>
      <c r="AJ425" t="s">
        <v>26</v>
      </c>
    </row>
    <row r="427" spans="1:36" x14ac:dyDescent="0.25">
      <c r="A427" t="s">
        <v>8</v>
      </c>
      <c r="I427" t="s">
        <v>8</v>
      </c>
      <c r="R427" t="s">
        <v>8</v>
      </c>
      <c r="AA427" t="s">
        <v>8</v>
      </c>
      <c r="AJ427" t="s">
        <v>8</v>
      </c>
    </row>
    <row r="428" spans="1:36" x14ac:dyDescent="0.25">
      <c r="A428" t="s">
        <v>9</v>
      </c>
      <c r="I428" t="s">
        <v>9</v>
      </c>
      <c r="R428" t="s">
        <v>9</v>
      </c>
      <c r="AA428" t="s">
        <v>9</v>
      </c>
      <c r="AJ428" t="s">
        <v>9</v>
      </c>
    </row>
    <row r="429" spans="1:36" x14ac:dyDescent="0.25">
      <c r="A429" t="s">
        <v>137</v>
      </c>
      <c r="I429" t="s">
        <v>287</v>
      </c>
      <c r="R429" t="s">
        <v>403</v>
      </c>
      <c r="AA429" t="s">
        <v>521</v>
      </c>
      <c r="AJ429" t="s">
        <v>638</v>
      </c>
    </row>
    <row r="430" spans="1:36" x14ac:dyDescent="0.25">
      <c r="A430" t="s">
        <v>28</v>
      </c>
      <c r="I430" t="s">
        <v>28</v>
      </c>
      <c r="R430" t="s">
        <v>28</v>
      </c>
      <c r="AA430" t="s">
        <v>28</v>
      </c>
      <c r="AJ430" t="s">
        <v>28</v>
      </c>
    </row>
    <row r="431" spans="1:36" x14ac:dyDescent="0.25">
      <c r="A431" t="s">
        <v>138</v>
      </c>
      <c r="I431" t="s">
        <v>288</v>
      </c>
      <c r="R431" t="s">
        <v>404</v>
      </c>
      <c r="AA431" t="s">
        <v>522</v>
      </c>
      <c r="AJ431" t="s">
        <v>639</v>
      </c>
    </row>
    <row r="432" spans="1:36" x14ac:dyDescent="0.25">
      <c r="A432" t="s">
        <v>30</v>
      </c>
      <c r="I432" t="s">
        <v>30</v>
      </c>
      <c r="R432" t="s">
        <v>30</v>
      </c>
      <c r="AA432" t="s">
        <v>30</v>
      </c>
      <c r="AJ432" t="s">
        <v>30</v>
      </c>
    </row>
    <row r="433" spans="1:36" x14ac:dyDescent="0.25">
      <c r="A433" t="s">
        <v>31</v>
      </c>
      <c r="I433" t="s">
        <v>31</v>
      </c>
      <c r="R433" t="s">
        <v>31</v>
      </c>
      <c r="AA433" t="s">
        <v>31</v>
      </c>
      <c r="AJ433" t="s">
        <v>31</v>
      </c>
    </row>
    <row r="434" spans="1:36" x14ac:dyDescent="0.25">
      <c r="A434" t="s">
        <v>32</v>
      </c>
      <c r="I434" t="s">
        <v>32</v>
      </c>
      <c r="R434" t="s">
        <v>32</v>
      </c>
      <c r="AA434" t="s">
        <v>32</v>
      </c>
      <c r="AJ434" t="s">
        <v>32</v>
      </c>
    </row>
    <row r="435" spans="1:36" x14ac:dyDescent="0.25">
      <c r="A435" t="s">
        <v>139</v>
      </c>
      <c r="I435" t="s">
        <v>289</v>
      </c>
      <c r="R435" t="s">
        <v>405</v>
      </c>
      <c r="AA435" t="s">
        <v>523</v>
      </c>
      <c r="AJ435" t="s">
        <v>640</v>
      </c>
    </row>
    <row r="436" spans="1:36" x14ac:dyDescent="0.25">
      <c r="A436" t="s">
        <v>34</v>
      </c>
      <c r="I436" t="s">
        <v>34</v>
      </c>
      <c r="R436" t="s">
        <v>34</v>
      </c>
      <c r="AA436" t="s">
        <v>34</v>
      </c>
      <c r="AJ436" t="s">
        <v>34</v>
      </c>
    </row>
    <row r="437" spans="1:36" x14ac:dyDescent="0.25">
      <c r="A437" t="s">
        <v>140</v>
      </c>
      <c r="I437" t="s">
        <v>290</v>
      </c>
      <c r="R437" t="s">
        <v>406</v>
      </c>
      <c r="AA437" t="s">
        <v>524</v>
      </c>
      <c r="AJ437" t="s">
        <v>641</v>
      </c>
    </row>
    <row r="438" spans="1:36" x14ac:dyDescent="0.25">
      <c r="A438" t="s">
        <v>36</v>
      </c>
      <c r="I438" t="s">
        <v>36</v>
      </c>
      <c r="R438" t="s">
        <v>36</v>
      </c>
      <c r="AA438" t="s">
        <v>36</v>
      </c>
      <c r="AJ438" t="s">
        <v>36</v>
      </c>
    </row>
    <row r="439" spans="1:36" x14ac:dyDescent="0.25">
      <c r="A439" t="s">
        <v>37</v>
      </c>
      <c r="I439" t="s">
        <v>37</v>
      </c>
      <c r="R439" t="s">
        <v>37</v>
      </c>
      <c r="AA439" t="s">
        <v>37</v>
      </c>
      <c r="AJ439" t="s">
        <v>37</v>
      </c>
    </row>
    <row r="440" spans="1:36" x14ac:dyDescent="0.25">
      <c r="A440" t="s">
        <v>38</v>
      </c>
      <c r="I440" t="s">
        <v>38</v>
      </c>
      <c r="R440" t="s">
        <v>38</v>
      </c>
      <c r="AA440" t="s">
        <v>38</v>
      </c>
      <c r="AJ440" t="s">
        <v>38</v>
      </c>
    </row>
    <row r="442" spans="1:36" x14ac:dyDescent="0.25">
      <c r="A442" t="s">
        <v>14</v>
      </c>
      <c r="I442" t="s">
        <v>14</v>
      </c>
      <c r="R442" t="s">
        <v>14</v>
      </c>
      <c r="AA442" t="s">
        <v>14</v>
      </c>
      <c r="AJ442" t="s">
        <v>14</v>
      </c>
    </row>
    <row r="443" spans="1:36" x14ac:dyDescent="0.25">
      <c r="A443" t="s">
        <v>15</v>
      </c>
      <c r="I443" t="s">
        <v>15</v>
      </c>
      <c r="R443" t="s">
        <v>15</v>
      </c>
      <c r="AA443" t="s">
        <v>15</v>
      </c>
      <c r="AJ443" t="s">
        <v>15</v>
      </c>
    </row>
    <row r="444" spans="1:36" x14ac:dyDescent="0.25">
      <c r="A444" t="s">
        <v>141</v>
      </c>
      <c r="I444" t="s">
        <v>291</v>
      </c>
      <c r="R444" t="s">
        <v>407</v>
      </c>
      <c r="AA444" t="s">
        <v>525</v>
      </c>
      <c r="AJ444" t="s">
        <v>642</v>
      </c>
    </row>
    <row r="445" spans="1:36" x14ac:dyDescent="0.25">
      <c r="A445" t="s">
        <v>16</v>
      </c>
      <c r="I445" t="s">
        <v>16</v>
      </c>
      <c r="R445" t="s">
        <v>16</v>
      </c>
      <c r="AA445" t="s">
        <v>16</v>
      </c>
      <c r="AJ445" t="s">
        <v>16</v>
      </c>
    </row>
    <row r="446" spans="1:36" x14ac:dyDescent="0.25">
      <c r="A446" t="s">
        <v>142</v>
      </c>
      <c r="I446" t="s">
        <v>292</v>
      </c>
      <c r="R446" t="s">
        <v>408</v>
      </c>
      <c r="AA446" t="s">
        <v>526</v>
      </c>
      <c r="AJ446" t="s">
        <v>643</v>
      </c>
    </row>
    <row r="447" spans="1:36" x14ac:dyDescent="0.25">
      <c r="A447" t="s">
        <v>18</v>
      </c>
      <c r="I447" t="s">
        <v>18</v>
      </c>
      <c r="R447" t="s">
        <v>18</v>
      </c>
      <c r="AA447" t="s">
        <v>18</v>
      </c>
      <c r="AJ447" t="s">
        <v>18</v>
      </c>
    </row>
    <row r="448" spans="1:36" x14ac:dyDescent="0.25">
      <c r="A448" t="s">
        <v>19</v>
      </c>
      <c r="I448" t="s">
        <v>19</v>
      </c>
      <c r="R448" t="s">
        <v>19</v>
      </c>
      <c r="AA448" t="s">
        <v>19</v>
      </c>
      <c r="AJ448" t="s">
        <v>19</v>
      </c>
    </row>
    <row r="449" spans="1:36" x14ac:dyDescent="0.25">
      <c r="A449" t="s">
        <v>20</v>
      </c>
      <c r="I449" t="s">
        <v>20</v>
      </c>
      <c r="R449" t="s">
        <v>20</v>
      </c>
      <c r="AA449" t="s">
        <v>20</v>
      </c>
      <c r="AJ449" t="s">
        <v>20</v>
      </c>
    </row>
    <row r="450" spans="1:36" x14ac:dyDescent="0.25">
      <c r="A450" t="s">
        <v>143</v>
      </c>
      <c r="I450" t="s">
        <v>293</v>
      </c>
      <c r="R450" t="s">
        <v>409</v>
      </c>
      <c r="AA450" t="s">
        <v>527</v>
      </c>
      <c r="AJ450" t="s">
        <v>644</v>
      </c>
    </row>
    <row r="451" spans="1:36" x14ac:dyDescent="0.25">
      <c r="A451" t="s">
        <v>22</v>
      </c>
      <c r="I451" t="s">
        <v>22</v>
      </c>
      <c r="R451" t="s">
        <v>22</v>
      </c>
      <c r="AA451" t="s">
        <v>22</v>
      </c>
      <c r="AJ451" t="s">
        <v>22</v>
      </c>
    </row>
    <row r="452" spans="1:36" x14ac:dyDescent="0.25">
      <c r="A452" t="s">
        <v>144</v>
      </c>
      <c r="I452" t="s">
        <v>294</v>
      </c>
      <c r="R452" t="s">
        <v>410</v>
      </c>
      <c r="AA452" t="s">
        <v>528</v>
      </c>
      <c r="AJ452" t="s">
        <v>645</v>
      </c>
    </row>
    <row r="453" spans="1:36" x14ac:dyDescent="0.25">
      <c r="A453" t="s">
        <v>24</v>
      </c>
      <c r="I453" t="s">
        <v>24</v>
      </c>
      <c r="R453" t="s">
        <v>24</v>
      </c>
      <c r="AA453" t="s">
        <v>24</v>
      </c>
      <c r="AJ453" t="s">
        <v>24</v>
      </c>
    </row>
    <row r="454" spans="1:36" x14ac:dyDescent="0.25">
      <c r="A454" t="s">
        <v>25</v>
      </c>
      <c r="I454" t="s">
        <v>25</v>
      </c>
      <c r="R454" t="s">
        <v>25</v>
      </c>
      <c r="AA454" t="s">
        <v>25</v>
      </c>
      <c r="AJ454" t="s">
        <v>25</v>
      </c>
    </row>
    <row r="455" spans="1:36" x14ac:dyDescent="0.25">
      <c r="A455" t="s">
        <v>26</v>
      </c>
      <c r="I455" t="s">
        <v>26</v>
      </c>
      <c r="R455" t="s">
        <v>26</v>
      </c>
      <c r="AA455" t="s">
        <v>26</v>
      </c>
      <c r="AJ455" t="s">
        <v>26</v>
      </c>
    </row>
    <row r="457" spans="1:36" x14ac:dyDescent="0.25">
      <c r="A457" t="s">
        <v>12</v>
      </c>
      <c r="I457" t="s">
        <v>12</v>
      </c>
      <c r="R457" t="s">
        <v>12</v>
      </c>
      <c r="AA457" t="s">
        <v>12</v>
      </c>
      <c r="AJ457" t="s">
        <v>12</v>
      </c>
    </row>
    <row r="458" spans="1:36" x14ac:dyDescent="0.25">
      <c r="A458" t="s">
        <v>13</v>
      </c>
      <c r="I458" t="s">
        <v>13</v>
      </c>
      <c r="R458" t="s">
        <v>13</v>
      </c>
      <c r="AA458" t="s">
        <v>13</v>
      </c>
      <c r="AJ458" t="s">
        <v>13</v>
      </c>
    </row>
    <row r="459" spans="1:36" x14ac:dyDescent="0.25">
      <c r="A459" t="s">
        <v>10</v>
      </c>
      <c r="I459" t="s">
        <v>10</v>
      </c>
      <c r="R459" t="s">
        <v>10</v>
      </c>
      <c r="AA459" t="s">
        <v>10</v>
      </c>
      <c r="AJ459" t="s">
        <v>10</v>
      </c>
    </row>
    <row r="460" spans="1:36" x14ac:dyDescent="0.25">
      <c r="A460" t="s">
        <v>11</v>
      </c>
      <c r="I460" t="s">
        <v>11</v>
      </c>
      <c r="R460" t="s">
        <v>11</v>
      </c>
      <c r="AA460" t="s">
        <v>11</v>
      </c>
      <c r="AJ460" t="s">
        <v>11</v>
      </c>
    </row>
    <row r="461" spans="1:36" x14ac:dyDescent="0.25">
      <c r="A461" t="s">
        <v>8</v>
      </c>
      <c r="I461" t="s">
        <v>8</v>
      </c>
      <c r="R461" t="s">
        <v>8</v>
      </c>
      <c r="AA461" t="s">
        <v>8</v>
      </c>
      <c r="AJ461" t="s">
        <v>8</v>
      </c>
    </row>
    <row r="462" spans="1:36" x14ac:dyDescent="0.25">
      <c r="A462" t="s">
        <v>9</v>
      </c>
      <c r="I462" t="s">
        <v>9</v>
      </c>
      <c r="R462" t="s">
        <v>9</v>
      </c>
      <c r="AA462" t="s">
        <v>9</v>
      </c>
      <c r="AJ462" t="s">
        <v>9</v>
      </c>
    </row>
    <row r="463" spans="1:36" x14ac:dyDescent="0.25">
      <c r="A463" t="s">
        <v>145</v>
      </c>
      <c r="I463" t="s">
        <v>295</v>
      </c>
      <c r="R463" t="s">
        <v>411</v>
      </c>
      <c r="AA463" t="s">
        <v>529</v>
      </c>
      <c r="AJ463" t="s">
        <v>646</v>
      </c>
    </row>
    <row r="464" spans="1:36" x14ac:dyDescent="0.25">
      <c r="A464" t="s">
        <v>28</v>
      </c>
      <c r="I464" t="s">
        <v>28</v>
      </c>
      <c r="R464" t="s">
        <v>28</v>
      </c>
      <c r="AA464" t="s">
        <v>28</v>
      </c>
      <c r="AJ464" t="s">
        <v>28</v>
      </c>
    </row>
    <row r="465" spans="1:36" x14ac:dyDescent="0.25">
      <c r="A465" t="s">
        <v>146</v>
      </c>
      <c r="I465" t="s">
        <v>296</v>
      </c>
      <c r="R465" t="s">
        <v>412</v>
      </c>
      <c r="AA465" t="s">
        <v>530</v>
      </c>
      <c r="AJ465" t="s">
        <v>647</v>
      </c>
    </row>
    <row r="466" spans="1:36" x14ac:dyDescent="0.25">
      <c r="A466" t="s">
        <v>30</v>
      </c>
      <c r="I466" t="s">
        <v>30</v>
      </c>
      <c r="R466" t="s">
        <v>30</v>
      </c>
      <c r="AA466" t="s">
        <v>30</v>
      </c>
      <c r="AJ466" t="s">
        <v>30</v>
      </c>
    </row>
    <row r="467" spans="1:36" x14ac:dyDescent="0.25">
      <c r="A467" t="s">
        <v>31</v>
      </c>
      <c r="I467" t="s">
        <v>31</v>
      </c>
      <c r="R467" t="s">
        <v>31</v>
      </c>
      <c r="AA467" t="s">
        <v>31</v>
      </c>
      <c r="AJ467" t="s">
        <v>31</v>
      </c>
    </row>
    <row r="468" spans="1:36" x14ac:dyDescent="0.25">
      <c r="A468" t="s">
        <v>32</v>
      </c>
      <c r="I468" t="s">
        <v>32</v>
      </c>
      <c r="R468" t="s">
        <v>32</v>
      </c>
      <c r="AA468" t="s">
        <v>32</v>
      </c>
      <c r="AJ468" t="s">
        <v>32</v>
      </c>
    </row>
    <row r="469" spans="1:36" x14ac:dyDescent="0.25">
      <c r="A469" t="s">
        <v>147</v>
      </c>
      <c r="I469" t="s">
        <v>297</v>
      </c>
      <c r="R469" t="s">
        <v>413</v>
      </c>
      <c r="AA469" t="s">
        <v>531</v>
      </c>
      <c r="AJ469" t="s">
        <v>648</v>
      </c>
    </row>
    <row r="470" spans="1:36" x14ac:dyDescent="0.25">
      <c r="A470" t="s">
        <v>34</v>
      </c>
      <c r="I470" t="s">
        <v>34</v>
      </c>
      <c r="R470" t="s">
        <v>34</v>
      </c>
      <c r="AA470" t="s">
        <v>34</v>
      </c>
      <c r="AJ470" t="s">
        <v>34</v>
      </c>
    </row>
    <row r="471" spans="1:36" x14ac:dyDescent="0.25">
      <c r="A471" t="s">
        <v>148</v>
      </c>
      <c r="I471" t="s">
        <v>298</v>
      </c>
      <c r="R471" t="s">
        <v>414</v>
      </c>
      <c r="AA471" t="s">
        <v>532</v>
      </c>
      <c r="AJ471" t="s">
        <v>649</v>
      </c>
    </row>
    <row r="472" spans="1:36" x14ac:dyDescent="0.25">
      <c r="A472" t="s">
        <v>36</v>
      </c>
      <c r="I472" t="s">
        <v>36</v>
      </c>
      <c r="R472" t="s">
        <v>36</v>
      </c>
      <c r="AA472" t="s">
        <v>36</v>
      </c>
      <c r="AJ472" t="s">
        <v>36</v>
      </c>
    </row>
    <row r="473" spans="1:36" x14ac:dyDescent="0.25">
      <c r="A473" t="s">
        <v>37</v>
      </c>
      <c r="I473" t="s">
        <v>37</v>
      </c>
      <c r="R473" t="s">
        <v>37</v>
      </c>
      <c r="AA473" t="s">
        <v>37</v>
      </c>
      <c r="AJ473" t="s">
        <v>37</v>
      </c>
    </row>
    <row r="474" spans="1:36" x14ac:dyDescent="0.25">
      <c r="A474" t="s">
        <v>38</v>
      </c>
      <c r="I474" t="s">
        <v>38</v>
      </c>
      <c r="R474" t="s">
        <v>38</v>
      </c>
      <c r="AA474" t="s">
        <v>38</v>
      </c>
      <c r="AJ474" t="s">
        <v>38</v>
      </c>
    </row>
    <row r="475" spans="1:36" x14ac:dyDescent="0.25">
      <c r="A475" t="s">
        <v>14</v>
      </c>
      <c r="I475" t="s">
        <v>14</v>
      </c>
      <c r="R475" t="s">
        <v>14</v>
      </c>
      <c r="AA475" t="s">
        <v>14</v>
      </c>
      <c r="AJ475" t="s">
        <v>14</v>
      </c>
    </row>
    <row r="476" spans="1:36" x14ac:dyDescent="0.25">
      <c r="A476" t="s">
        <v>15</v>
      </c>
      <c r="I476" t="s">
        <v>15</v>
      </c>
      <c r="R476" t="s">
        <v>15</v>
      </c>
      <c r="AA476" t="s">
        <v>15</v>
      </c>
      <c r="AJ476" t="s">
        <v>15</v>
      </c>
    </row>
    <row r="477" spans="1:36" x14ac:dyDescent="0.25">
      <c r="A477" t="s">
        <v>12</v>
      </c>
      <c r="I477" t="s">
        <v>12</v>
      </c>
      <c r="R477" t="s">
        <v>12</v>
      </c>
      <c r="AA477" t="s">
        <v>12</v>
      </c>
      <c r="AJ477" t="s">
        <v>12</v>
      </c>
    </row>
    <row r="478" spans="1:36" x14ac:dyDescent="0.25">
      <c r="A478" t="s">
        <v>13</v>
      </c>
      <c r="I478" t="s">
        <v>13</v>
      </c>
      <c r="R478" t="s">
        <v>13</v>
      </c>
      <c r="AA478" t="s">
        <v>13</v>
      </c>
      <c r="AJ478" t="s">
        <v>13</v>
      </c>
    </row>
    <row r="479" spans="1:36" x14ac:dyDescent="0.25">
      <c r="A479" t="s">
        <v>2</v>
      </c>
      <c r="I479" t="s">
        <v>2</v>
      </c>
      <c r="R479" t="s">
        <v>2</v>
      </c>
      <c r="AA479" t="s">
        <v>2</v>
      </c>
      <c r="AJ479" t="s">
        <v>2</v>
      </c>
    </row>
    <row r="480" spans="1:36" x14ac:dyDescent="0.25">
      <c r="A480" t="s">
        <v>3</v>
      </c>
      <c r="I480" t="s">
        <v>3</v>
      </c>
      <c r="R480" t="s">
        <v>3</v>
      </c>
      <c r="AA480" t="s">
        <v>3</v>
      </c>
      <c r="AJ480" t="s">
        <v>3</v>
      </c>
    </row>
    <row r="481" spans="1:36" x14ac:dyDescent="0.25">
      <c r="A481" t="s">
        <v>4</v>
      </c>
      <c r="I481" t="s">
        <v>4</v>
      </c>
      <c r="R481" t="s">
        <v>4</v>
      </c>
      <c r="AA481" t="s">
        <v>4</v>
      </c>
      <c r="AJ481" t="s">
        <v>4</v>
      </c>
    </row>
    <row r="482" spans="1:36" x14ac:dyDescent="0.25">
      <c r="A482" t="s">
        <v>5</v>
      </c>
      <c r="I482" t="s">
        <v>5</v>
      </c>
      <c r="R482" t="s">
        <v>5</v>
      </c>
      <c r="AA482" t="s">
        <v>5</v>
      </c>
      <c r="AJ482" t="s">
        <v>5</v>
      </c>
    </row>
    <row r="483" spans="1:36" x14ac:dyDescent="0.25">
      <c r="A483" t="s">
        <v>6</v>
      </c>
      <c r="I483" t="s">
        <v>6</v>
      </c>
      <c r="R483" t="s">
        <v>6</v>
      </c>
      <c r="AA483" t="s">
        <v>6</v>
      </c>
      <c r="AJ483" t="s">
        <v>6</v>
      </c>
    </row>
    <row r="484" spans="1:36" x14ac:dyDescent="0.25">
      <c r="A484" t="s">
        <v>7</v>
      </c>
      <c r="I484" t="s">
        <v>7</v>
      </c>
      <c r="R484" t="s">
        <v>7</v>
      </c>
      <c r="AA484" t="s">
        <v>7</v>
      </c>
      <c r="AJ484" t="s">
        <v>7</v>
      </c>
    </row>
    <row r="485" spans="1:36" x14ac:dyDescent="0.25">
      <c r="A485" t="s">
        <v>8</v>
      </c>
      <c r="I485" t="s">
        <v>8</v>
      </c>
      <c r="R485" t="s">
        <v>8</v>
      </c>
      <c r="AA485" t="s">
        <v>8</v>
      </c>
      <c r="AJ485" t="s">
        <v>8</v>
      </c>
    </row>
    <row r="486" spans="1:36" x14ac:dyDescent="0.25">
      <c r="A486" t="s">
        <v>9</v>
      </c>
      <c r="I486" t="s">
        <v>9</v>
      </c>
      <c r="R486" t="s">
        <v>9</v>
      </c>
      <c r="AA486" t="s">
        <v>9</v>
      </c>
      <c r="AJ486" t="s">
        <v>9</v>
      </c>
    </row>
    <row r="487" spans="1:36" x14ac:dyDescent="0.25">
      <c r="A487" t="s">
        <v>149</v>
      </c>
      <c r="I487" t="s">
        <v>149</v>
      </c>
      <c r="R487" t="s">
        <v>149</v>
      </c>
      <c r="AA487" t="s">
        <v>149</v>
      </c>
      <c r="AJ487" t="s">
        <v>149</v>
      </c>
    </row>
    <row r="488" spans="1:36" x14ac:dyDescent="0.25">
      <c r="A488" t="s">
        <v>150</v>
      </c>
      <c r="I488" t="s">
        <v>150</v>
      </c>
      <c r="R488" t="s">
        <v>150</v>
      </c>
      <c r="AA488" t="s">
        <v>150</v>
      </c>
      <c r="AJ488" t="s">
        <v>150</v>
      </c>
    </row>
    <row r="489" spans="1:36" x14ac:dyDescent="0.25">
      <c r="A489" t="s">
        <v>151</v>
      </c>
      <c r="I489" t="s">
        <v>151</v>
      </c>
      <c r="R489" t="s">
        <v>151</v>
      </c>
      <c r="AA489" t="s">
        <v>151</v>
      </c>
      <c r="AJ489" t="s">
        <v>151</v>
      </c>
    </row>
    <row r="490" spans="1:36" x14ac:dyDescent="0.25">
      <c r="A490" t="s">
        <v>152</v>
      </c>
      <c r="I490" t="s">
        <v>152</v>
      </c>
      <c r="R490" t="s">
        <v>152</v>
      </c>
      <c r="AA490" t="s">
        <v>152</v>
      </c>
      <c r="AJ490" t="s">
        <v>152</v>
      </c>
    </row>
    <row r="491" spans="1:36" x14ac:dyDescent="0.25">
      <c r="A491" t="s">
        <v>149</v>
      </c>
      <c r="I491" t="s">
        <v>149</v>
      </c>
      <c r="R491" t="s">
        <v>149</v>
      </c>
      <c r="AA491" t="s">
        <v>149</v>
      </c>
      <c r="AJ491" t="s">
        <v>149</v>
      </c>
    </row>
    <row r="492" spans="1:36" x14ac:dyDescent="0.25">
      <c r="A492" t="s">
        <v>153</v>
      </c>
      <c r="I492" t="s">
        <v>153</v>
      </c>
      <c r="R492" t="s">
        <v>153</v>
      </c>
      <c r="AA492" t="s">
        <v>153</v>
      </c>
      <c r="AJ492" t="s">
        <v>153</v>
      </c>
    </row>
    <row r="493" spans="1:36" x14ac:dyDescent="0.25">
      <c r="A493" t="s">
        <v>151</v>
      </c>
      <c r="I493" t="s">
        <v>151</v>
      </c>
      <c r="R493" t="s">
        <v>151</v>
      </c>
      <c r="AA493" t="s">
        <v>151</v>
      </c>
      <c r="AJ493" t="s">
        <v>151</v>
      </c>
    </row>
    <row r="494" spans="1:36" x14ac:dyDescent="0.25">
      <c r="A494" t="s">
        <v>154</v>
      </c>
      <c r="I494" t="s">
        <v>154</v>
      </c>
      <c r="R494" t="s">
        <v>154</v>
      </c>
      <c r="AA494" t="s">
        <v>154</v>
      </c>
      <c r="AJ494" t="s">
        <v>154</v>
      </c>
    </row>
    <row r="495" spans="1:36" x14ac:dyDescent="0.25">
      <c r="A495" t="s">
        <v>155</v>
      </c>
      <c r="I495" t="s">
        <v>155</v>
      </c>
      <c r="R495" t="s">
        <v>155</v>
      </c>
      <c r="AA495" t="s">
        <v>155</v>
      </c>
      <c r="AJ495" t="s">
        <v>155</v>
      </c>
    </row>
    <row r="496" spans="1:36" x14ac:dyDescent="0.25">
      <c r="A496" t="s">
        <v>156</v>
      </c>
      <c r="I496" t="s">
        <v>156</v>
      </c>
      <c r="R496" t="s">
        <v>156</v>
      </c>
      <c r="AA496" t="s">
        <v>156</v>
      </c>
      <c r="AJ496" t="s">
        <v>156</v>
      </c>
    </row>
    <row r="497" spans="1:36" x14ac:dyDescent="0.25">
      <c r="A497" t="s">
        <v>157</v>
      </c>
      <c r="I497" t="s">
        <v>157</v>
      </c>
      <c r="R497" t="s">
        <v>157</v>
      </c>
      <c r="AA497" t="s">
        <v>157</v>
      </c>
      <c r="AJ497" t="s">
        <v>157</v>
      </c>
    </row>
    <row r="498" spans="1:36" x14ac:dyDescent="0.25">
      <c r="A498" t="s">
        <v>158</v>
      </c>
      <c r="I498" t="s">
        <v>158</v>
      </c>
      <c r="R498" t="s">
        <v>158</v>
      </c>
      <c r="AA498" t="s">
        <v>158</v>
      </c>
      <c r="AJ498" t="s">
        <v>158</v>
      </c>
    </row>
    <row r="499" spans="1:36" x14ac:dyDescent="0.25">
      <c r="A499" t="s">
        <v>155</v>
      </c>
      <c r="I499" t="s">
        <v>155</v>
      </c>
      <c r="R499" t="s">
        <v>155</v>
      </c>
      <c r="AA499" t="s">
        <v>155</v>
      </c>
      <c r="AJ499" t="s">
        <v>155</v>
      </c>
    </row>
    <row r="500" spans="1:36" x14ac:dyDescent="0.25">
      <c r="A500" t="s">
        <v>159</v>
      </c>
      <c r="I500" t="s">
        <v>159</v>
      </c>
      <c r="R500" t="s">
        <v>159</v>
      </c>
      <c r="AA500" t="s">
        <v>159</v>
      </c>
      <c r="AJ500" t="s">
        <v>159</v>
      </c>
    </row>
    <row r="501" spans="1:36" x14ac:dyDescent="0.25">
      <c r="A501" t="s">
        <v>160</v>
      </c>
      <c r="I501" t="s">
        <v>160</v>
      </c>
      <c r="R501" t="s">
        <v>160</v>
      </c>
      <c r="AA501" t="s">
        <v>160</v>
      </c>
      <c r="AJ501" t="s">
        <v>160</v>
      </c>
    </row>
    <row r="502" spans="1:36" x14ac:dyDescent="0.25">
      <c r="A502" t="s">
        <v>161</v>
      </c>
      <c r="I502" t="s">
        <v>161</v>
      </c>
      <c r="R502" t="s">
        <v>161</v>
      </c>
      <c r="AA502" t="s">
        <v>161</v>
      </c>
      <c r="AJ502" t="s">
        <v>161</v>
      </c>
    </row>
    <row r="503" spans="1:36" x14ac:dyDescent="0.25">
      <c r="A503" t="s">
        <v>155</v>
      </c>
      <c r="I503" t="s">
        <v>155</v>
      </c>
      <c r="R503" t="s">
        <v>155</v>
      </c>
      <c r="AA503" t="s">
        <v>155</v>
      </c>
      <c r="AJ503" t="s">
        <v>155</v>
      </c>
    </row>
    <row r="504" spans="1:36" x14ac:dyDescent="0.25">
      <c r="A504" t="s">
        <v>162</v>
      </c>
      <c r="I504" t="s">
        <v>162</v>
      </c>
      <c r="R504" t="s">
        <v>162</v>
      </c>
      <c r="AA504" t="s">
        <v>162</v>
      </c>
      <c r="AJ504" t="s">
        <v>162</v>
      </c>
    </row>
    <row r="505" spans="1:36" x14ac:dyDescent="0.25">
      <c r="A505" t="s">
        <v>160</v>
      </c>
      <c r="I505" t="s">
        <v>160</v>
      </c>
      <c r="R505" t="s">
        <v>160</v>
      </c>
      <c r="AA505" t="s">
        <v>160</v>
      </c>
      <c r="AJ505" t="s">
        <v>160</v>
      </c>
    </row>
    <row r="506" spans="1:36" x14ac:dyDescent="0.25">
      <c r="A506" t="s">
        <v>163</v>
      </c>
      <c r="I506" t="s">
        <v>163</v>
      </c>
      <c r="R506" t="s">
        <v>163</v>
      </c>
      <c r="AA506" t="s">
        <v>163</v>
      </c>
      <c r="AJ506" t="s">
        <v>163</v>
      </c>
    </row>
    <row r="507" spans="1:36" x14ac:dyDescent="0.25">
      <c r="A507" t="s">
        <v>155</v>
      </c>
      <c r="I507" t="s">
        <v>155</v>
      </c>
      <c r="R507" t="s">
        <v>155</v>
      </c>
      <c r="AA507" t="s">
        <v>155</v>
      </c>
      <c r="AJ507" t="s">
        <v>155</v>
      </c>
    </row>
    <row r="508" spans="1:36" x14ac:dyDescent="0.25">
      <c r="A508" t="s">
        <v>164</v>
      </c>
      <c r="I508" t="s">
        <v>164</v>
      </c>
      <c r="R508" t="s">
        <v>164</v>
      </c>
      <c r="AA508" t="s">
        <v>164</v>
      </c>
      <c r="AJ508" t="s">
        <v>164</v>
      </c>
    </row>
    <row r="509" spans="1:36" x14ac:dyDescent="0.25">
      <c r="A509" t="s">
        <v>165</v>
      </c>
      <c r="I509" t="s">
        <v>165</v>
      </c>
      <c r="R509" t="s">
        <v>165</v>
      </c>
      <c r="AA509" t="s">
        <v>165</v>
      </c>
      <c r="AJ509" t="s">
        <v>165</v>
      </c>
    </row>
    <row r="510" spans="1:36" x14ac:dyDescent="0.25">
      <c r="A510" t="s">
        <v>166</v>
      </c>
      <c r="I510" t="s">
        <v>166</v>
      </c>
      <c r="R510" t="s">
        <v>166</v>
      </c>
      <c r="AA510" t="s">
        <v>166</v>
      </c>
      <c r="AJ510" t="s">
        <v>166</v>
      </c>
    </row>
    <row r="511" spans="1:36" x14ac:dyDescent="0.25">
      <c r="A511" t="s">
        <v>167</v>
      </c>
      <c r="I511" t="s">
        <v>167</v>
      </c>
      <c r="R511" t="s">
        <v>167</v>
      </c>
      <c r="AA511" t="s">
        <v>167</v>
      </c>
      <c r="AJ511" t="s">
        <v>167</v>
      </c>
    </row>
    <row r="512" spans="1:36" x14ac:dyDescent="0.25">
      <c r="A512" t="s">
        <v>168</v>
      </c>
      <c r="I512" t="s">
        <v>168</v>
      </c>
      <c r="R512" t="s">
        <v>168</v>
      </c>
      <c r="AA512" t="s">
        <v>168</v>
      </c>
      <c r="AJ512" t="s">
        <v>168</v>
      </c>
    </row>
    <row r="513" spans="1:36" x14ac:dyDescent="0.25">
      <c r="A513" t="s">
        <v>169</v>
      </c>
      <c r="I513" t="s">
        <v>169</v>
      </c>
      <c r="R513" t="s">
        <v>169</v>
      </c>
      <c r="AA513" t="s">
        <v>169</v>
      </c>
      <c r="AJ513" t="s">
        <v>169</v>
      </c>
    </row>
    <row r="514" spans="1:36" x14ac:dyDescent="0.25">
      <c r="A514" t="s">
        <v>170</v>
      </c>
      <c r="I514" t="s">
        <v>170</v>
      </c>
      <c r="R514" t="s">
        <v>170</v>
      </c>
      <c r="AA514" t="s">
        <v>170</v>
      </c>
      <c r="AJ514" t="s">
        <v>170</v>
      </c>
    </row>
    <row r="515" spans="1:36" x14ac:dyDescent="0.25">
      <c r="A515" t="s">
        <v>171</v>
      </c>
      <c r="I515" t="s">
        <v>171</v>
      </c>
      <c r="R515" t="s">
        <v>171</v>
      </c>
      <c r="AA515" t="s">
        <v>171</v>
      </c>
      <c r="AJ515" t="s">
        <v>171</v>
      </c>
    </row>
    <row r="516" spans="1:36" x14ac:dyDescent="0.25">
      <c r="A516" t="s">
        <v>172</v>
      </c>
      <c r="I516" t="s">
        <v>172</v>
      </c>
      <c r="R516" t="s">
        <v>172</v>
      </c>
      <c r="AA516" t="s">
        <v>172</v>
      </c>
      <c r="AJ516" t="s">
        <v>172</v>
      </c>
    </row>
    <row r="517" spans="1:36" x14ac:dyDescent="0.25">
      <c r="A517" t="s">
        <v>173</v>
      </c>
      <c r="I517" t="s">
        <v>173</v>
      </c>
      <c r="R517" t="s">
        <v>173</v>
      </c>
      <c r="AA517" t="s">
        <v>173</v>
      </c>
      <c r="AJ517" t="s">
        <v>173</v>
      </c>
    </row>
    <row r="518" spans="1:36" x14ac:dyDescent="0.25">
      <c r="A518" t="s">
        <v>174</v>
      </c>
      <c r="I518" t="s">
        <v>174</v>
      </c>
      <c r="R518" t="s">
        <v>174</v>
      </c>
      <c r="AA518" t="s">
        <v>174</v>
      </c>
      <c r="AJ518" t="s">
        <v>174</v>
      </c>
    </row>
    <row r="519" spans="1:36" x14ac:dyDescent="0.25">
      <c r="A519" t="s">
        <v>175</v>
      </c>
      <c r="I519" t="s">
        <v>175</v>
      </c>
      <c r="R519" t="s">
        <v>175</v>
      </c>
      <c r="AA519" t="s">
        <v>175</v>
      </c>
      <c r="AJ519" t="s">
        <v>175</v>
      </c>
    </row>
    <row r="520" spans="1:36" x14ac:dyDescent="0.25">
      <c r="A520" t="s">
        <v>176</v>
      </c>
      <c r="I520" t="s">
        <v>176</v>
      </c>
      <c r="R520" t="s">
        <v>176</v>
      </c>
      <c r="AA520" t="s">
        <v>176</v>
      </c>
      <c r="AJ520" t="s">
        <v>176</v>
      </c>
    </row>
    <row r="521" spans="1:36" x14ac:dyDescent="0.25">
      <c r="A521" t="s">
        <v>177</v>
      </c>
      <c r="I521" t="s">
        <v>177</v>
      </c>
      <c r="R521" t="s">
        <v>177</v>
      </c>
      <c r="AA521" t="s">
        <v>177</v>
      </c>
      <c r="AJ521" t="s">
        <v>177</v>
      </c>
    </row>
    <row r="522" spans="1:36" x14ac:dyDescent="0.25">
      <c r="A522" t="s">
        <v>178</v>
      </c>
      <c r="I522" t="s">
        <v>178</v>
      </c>
      <c r="R522" t="s">
        <v>178</v>
      </c>
      <c r="AA522" t="s">
        <v>178</v>
      </c>
      <c r="AJ522" t="s">
        <v>178</v>
      </c>
    </row>
    <row r="523" spans="1:36" x14ac:dyDescent="0.25">
      <c r="A523" t="s">
        <v>179</v>
      </c>
      <c r="I523" t="s">
        <v>179</v>
      </c>
      <c r="R523" t="s">
        <v>179</v>
      </c>
      <c r="AA523" t="s">
        <v>179</v>
      </c>
      <c r="AJ523" t="s">
        <v>179</v>
      </c>
    </row>
    <row r="524" spans="1:36" x14ac:dyDescent="0.25">
      <c r="A524" t="s">
        <v>180</v>
      </c>
      <c r="I524" t="s">
        <v>180</v>
      </c>
      <c r="R524" t="s">
        <v>180</v>
      </c>
      <c r="AA524" t="s">
        <v>180</v>
      </c>
      <c r="AJ524" t="s">
        <v>180</v>
      </c>
    </row>
    <row r="525" spans="1:36" x14ac:dyDescent="0.25">
      <c r="A525" t="s">
        <v>181</v>
      </c>
      <c r="I525" t="s">
        <v>181</v>
      </c>
      <c r="R525" t="s">
        <v>181</v>
      </c>
      <c r="AA525" t="s">
        <v>181</v>
      </c>
      <c r="AJ525" t="s">
        <v>181</v>
      </c>
    </row>
    <row r="526" spans="1:36" x14ac:dyDescent="0.25">
      <c r="A526" t="s">
        <v>182</v>
      </c>
      <c r="I526" t="s">
        <v>182</v>
      </c>
      <c r="R526" t="s">
        <v>182</v>
      </c>
      <c r="AA526" t="s">
        <v>182</v>
      </c>
      <c r="AJ526" t="s">
        <v>182</v>
      </c>
    </row>
    <row r="527" spans="1:36" x14ac:dyDescent="0.25">
      <c r="A527" t="s">
        <v>183</v>
      </c>
      <c r="I527" t="s">
        <v>183</v>
      </c>
      <c r="R527" t="s">
        <v>183</v>
      </c>
      <c r="AA527" t="s">
        <v>183</v>
      </c>
      <c r="AJ527" t="s">
        <v>183</v>
      </c>
    </row>
    <row r="528" spans="1:36" x14ac:dyDescent="0.25">
      <c r="A528" t="s">
        <v>184</v>
      </c>
      <c r="I528" t="s">
        <v>184</v>
      </c>
      <c r="R528" t="s">
        <v>184</v>
      </c>
      <c r="AA528" t="s">
        <v>184</v>
      </c>
      <c r="AJ528" t="s">
        <v>184</v>
      </c>
    </row>
    <row r="529" spans="1:36" x14ac:dyDescent="0.25">
      <c r="A529" t="s">
        <v>185</v>
      </c>
      <c r="I529" t="s">
        <v>185</v>
      </c>
      <c r="R529" t="s">
        <v>185</v>
      </c>
      <c r="AA529" t="s">
        <v>185</v>
      </c>
      <c r="AJ529" t="s">
        <v>185</v>
      </c>
    </row>
    <row r="530" spans="1:36" x14ac:dyDescent="0.25">
      <c r="A530" t="s">
        <v>186</v>
      </c>
      <c r="I530" t="s">
        <v>186</v>
      </c>
      <c r="R530" t="s">
        <v>186</v>
      </c>
      <c r="AA530" t="s">
        <v>186</v>
      </c>
      <c r="AJ530" t="s">
        <v>186</v>
      </c>
    </row>
    <row r="531" spans="1:36" x14ac:dyDescent="0.25">
      <c r="A531" t="s">
        <v>10</v>
      </c>
      <c r="I531" t="s">
        <v>10</v>
      </c>
      <c r="R531" t="s">
        <v>10</v>
      </c>
      <c r="AA531" t="s">
        <v>10</v>
      </c>
      <c r="AJ531" t="s">
        <v>10</v>
      </c>
    </row>
    <row r="532" spans="1:36" x14ac:dyDescent="0.25">
      <c r="A532" t="s">
        <v>11</v>
      </c>
      <c r="I532" t="s">
        <v>11</v>
      </c>
      <c r="R532" t="s">
        <v>11</v>
      </c>
      <c r="AA532" t="s">
        <v>11</v>
      </c>
      <c r="AJ532" t="s">
        <v>11</v>
      </c>
    </row>
    <row r="533" spans="1:36" x14ac:dyDescent="0.25">
      <c r="A533" t="s">
        <v>12</v>
      </c>
      <c r="I533" t="s">
        <v>12</v>
      </c>
      <c r="R533" t="s">
        <v>12</v>
      </c>
      <c r="AA533" t="s">
        <v>12</v>
      </c>
      <c r="AJ533" t="s">
        <v>12</v>
      </c>
    </row>
    <row r="534" spans="1:36" x14ac:dyDescent="0.25">
      <c r="A534" t="s">
        <v>13</v>
      </c>
      <c r="I534" t="s">
        <v>13</v>
      </c>
      <c r="R534" t="s">
        <v>13</v>
      </c>
      <c r="AA534" t="s">
        <v>13</v>
      </c>
      <c r="AJ534" t="s">
        <v>13</v>
      </c>
    </row>
    <row r="535" spans="1:36" x14ac:dyDescent="0.25">
      <c r="A535" t="s">
        <v>10</v>
      </c>
      <c r="I535" t="s">
        <v>10</v>
      </c>
      <c r="R535" t="s">
        <v>10</v>
      </c>
      <c r="AA535" t="s">
        <v>10</v>
      </c>
      <c r="AJ535" t="s">
        <v>10</v>
      </c>
    </row>
    <row r="536" spans="1:36" x14ac:dyDescent="0.25">
      <c r="A536" t="s">
        <v>11</v>
      </c>
      <c r="I536" t="s">
        <v>11</v>
      </c>
      <c r="R536" t="s">
        <v>11</v>
      </c>
      <c r="AA536" t="s">
        <v>11</v>
      </c>
      <c r="AJ536" t="s">
        <v>11</v>
      </c>
    </row>
    <row r="537" spans="1:36" x14ac:dyDescent="0.25">
      <c r="A537" t="s">
        <v>12</v>
      </c>
      <c r="I537" t="s">
        <v>12</v>
      </c>
      <c r="R537" t="s">
        <v>12</v>
      </c>
      <c r="AA537" t="s">
        <v>12</v>
      </c>
      <c r="AJ537" t="s">
        <v>12</v>
      </c>
    </row>
    <row r="538" spans="1:36" x14ac:dyDescent="0.25">
      <c r="A538" t="s">
        <v>13</v>
      </c>
      <c r="I538" t="s">
        <v>13</v>
      </c>
      <c r="R538" t="s">
        <v>13</v>
      </c>
      <c r="AA538" t="s">
        <v>13</v>
      </c>
      <c r="AJ538" t="s">
        <v>13</v>
      </c>
    </row>
    <row r="539" spans="1:36" x14ac:dyDescent="0.25">
      <c r="A539" t="s">
        <v>25</v>
      </c>
      <c r="I539" t="s">
        <v>25</v>
      </c>
      <c r="R539" t="s">
        <v>25</v>
      </c>
      <c r="AA539" t="s">
        <v>25</v>
      </c>
      <c r="AJ539" t="s">
        <v>25</v>
      </c>
    </row>
    <row r="540" spans="1:36" x14ac:dyDescent="0.25">
      <c r="A540" t="s">
        <v>26</v>
      </c>
      <c r="I540" t="s">
        <v>26</v>
      </c>
      <c r="R540" t="s">
        <v>26</v>
      </c>
      <c r="AA540" t="s">
        <v>26</v>
      </c>
      <c r="AJ540" t="s">
        <v>26</v>
      </c>
    </row>
    <row r="541" spans="1:36" x14ac:dyDescent="0.25">
      <c r="A541" t="s">
        <v>12</v>
      </c>
      <c r="I541" t="s">
        <v>12</v>
      </c>
      <c r="R541" t="s">
        <v>12</v>
      </c>
      <c r="AA541" t="s">
        <v>12</v>
      </c>
      <c r="AJ541" t="s">
        <v>12</v>
      </c>
    </row>
    <row r="542" spans="1:36" x14ac:dyDescent="0.25">
      <c r="A542" t="s">
        <v>13</v>
      </c>
      <c r="I542" t="s">
        <v>13</v>
      </c>
      <c r="R542" t="s">
        <v>13</v>
      </c>
      <c r="AA542" t="s">
        <v>13</v>
      </c>
      <c r="AJ542" t="s">
        <v>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BS38"/>
  <sheetViews>
    <sheetView workbookViewId="0">
      <selection activeCell="A38" sqref="A38"/>
    </sheetView>
  </sheetViews>
  <sheetFormatPr defaultRowHeight="15" x14ac:dyDescent="0.25"/>
  <cols>
    <col min="1" max="1" width="10.7109375" customWidth="1"/>
    <col min="2" max="11" width="20.7109375" customWidth="1"/>
    <col min="13" max="13" width="10.7109375" customWidth="1"/>
    <col min="14" max="23" width="20.7109375" customWidth="1"/>
    <col min="25" max="25" width="10.7109375" customWidth="1"/>
    <col min="26" max="35" width="20.7109375" customWidth="1"/>
    <col min="37" max="37" width="10.7109375" customWidth="1"/>
    <col min="38" max="47" width="20.7109375" customWidth="1"/>
    <col min="49" max="49" width="10.7109375" customWidth="1"/>
    <col min="50" max="59" width="20.7109375" customWidth="1"/>
    <col min="61" max="61" width="10.7109375" customWidth="1"/>
    <col min="62" max="71" width="20.7109375" customWidth="1"/>
  </cols>
  <sheetData>
    <row r="1" spans="1:71" x14ac:dyDescent="0.25">
      <c r="A1" s="7" t="s">
        <v>0</v>
      </c>
      <c r="B1" s="7"/>
      <c r="C1" s="7"/>
      <c r="D1" s="7"/>
      <c r="E1" s="7"/>
      <c r="F1" s="7"/>
      <c r="G1" s="7"/>
      <c r="H1" s="7"/>
      <c r="I1" s="7"/>
      <c r="J1" s="7"/>
      <c r="K1" s="7"/>
      <c r="L1" s="7"/>
      <c r="M1" s="7"/>
      <c r="N1" s="7"/>
      <c r="O1" s="7"/>
      <c r="P1" s="7"/>
      <c r="Q1" s="7"/>
      <c r="R1" s="7"/>
      <c r="S1" s="7"/>
      <c r="T1" s="7"/>
    </row>
    <row r="2" spans="1:71" x14ac:dyDescent="0.25">
      <c r="A2" s="7"/>
      <c r="B2" s="7"/>
      <c r="C2" s="7"/>
      <c r="D2" s="7" t="s">
        <v>815</v>
      </c>
      <c r="E2" s="7"/>
      <c r="F2" s="7"/>
      <c r="G2" s="7"/>
      <c r="H2" s="7"/>
      <c r="I2" s="7"/>
      <c r="J2" s="7"/>
      <c r="K2" s="7"/>
      <c r="L2" s="7"/>
      <c r="M2" s="7"/>
      <c r="N2" s="7"/>
      <c r="O2" s="7"/>
      <c r="P2" s="7"/>
      <c r="Q2" s="7"/>
      <c r="R2" s="7"/>
      <c r="S2" s="7"/>
      <c r="T2" s="7"/>
    </row>
    <row r="3" spans="1:71" x14ac:dyDescent="0.25">
      <c r="A3" s="8" t="s">
        <v>761</v>
      </c>
      <c r="B3" s="8">
        <v>42836</v>
      </c>
      <c r="C3" s="7"/>
      <c r="D3" s="7"/>
      <c r="E3" s="7"/>
      <c r="F3" s="7"/>
      <c r="G3" s="7"/>
      <c r="H3" s="7"/>
      <c r="I3" s="7"/>
      <c r="J3" s="7"/>
      <c r="K3" s="7"/>
      <c r="L3" s="7"/>
      <c r="M3" s="7"/>
      <c r="N3" s="7"/>
      <c r="O3" s="7"/>
      <c r="P3" s="7"/>
      <c r="Q3" s="7"/>
      <c r="R3" s="7"/>
      <c r="S3" s="7"/>
      <c r="T3" s="7"/>
    </row>
    <row r="4" spans="1:71" x14ac:dyDescent="0.25">
      <c r="A4" s="7" t="s">
        <v>762</v>
      </c>
      <c r="B4" s="9">
        <v>0.68055555556202307</v>
      </c>
      <c r="C4" s="7"/>
      <c r="D4" s="7" t="s">
        <v>759</v>
      </c>
      <c r="E4" s="7"/>
      <c r="F4" s="7"/>
      <c r="G4" s="7"/>
      <c r="H4" s="7"/>
      <c r="I4" s="7"/>
      <c r="J4" s="7"/>
      <c r="K4" s="7"/>
      <c r="L4" s="7"/>
      <c r="M4" s="7"/>
      <c r="N4" s="7"/>
      <c r="O4" s="7"/>
      <c r="P4" s="7"/>
      <c r="Q4" s="7"/>
      <c r="R4" s="7"/>
      <c r="S4" s="7"/>
      <c r="T4" s="7"/>
    </row>
    <row r="5" spans="1:71" x14ac:dyDescent="0.25">
      <c r="A5" s="7" t="s">
        <v>763</v>
      </c>
      <c r="B5" s="9">
        <v>0.69652777776354924</v>
      </c>
      <c r="C5" s="7"/>
      <c r="D5" s="7" t="s">
        <v>760</v>
      </c>
      <c r="E5" s="10"/>
      <c r="F5" s="7"/>
      <c r="G5" s="7"/>
      <c r="H5" s="7"/>
      <c r="I5" s="7"/>
      <c r="J5" s="7"/>
      <c r="K5" s="7"/>
      <c r="L5" s="7"/>
      <c r="M5" s="7"/>
      <c r="N5" s="7"/>
      <c r="O5" s="7"/>
      <c r="P5" s="7"/>
      <c r="Q5" s="7"/>
      <c r="R5" s="7"/>
      <c r="S5" s="7"/>
      <c r="T5" s="7"/>
    </row>
    <row r="6" spans="1:71" x14ac:dyDescent="0.25">
      <c r="A6" s="7"/>
      <c r="B6" s="7"/>
      <c r="C6" s="7"/>
      <c r="D6" s="7"/>
      <c r="E6" s="7"/>
      <c r="F6" s="7"/>
      <c r="G6" s="7"/>
      <c r="H6" s="7"/>
      <c r="I6" s="7"/>
      <c r="J6" s="7"/>
      <c r="K6" s="7"/>
      <c r="L6" s="7"/>
      <c r="M6" s="7"/>
      <c r="N6" s="7"/>
      <c r="O6" s="7"/>
      <c r="P6" s="7"/>
      <c r="Q6" s="7"/>
      <c r="R6" s="7"/>
      <c r="S6" s="7"/>
      <c r="T6" s="7"/>
    </row>
    <row r="7" spans="1:71" x14ac:dyDescent="0.25">
      <c r="A7" s="7"/>
      <c r="B7" s="7"/>
      <c r="C7" s="7"/>
      <c r="D7" s="7"/>
      <c r="E7" s="7"/>
      <c r="F7" s="7"/>
      <c r="G7" s="7"/>
      <c r="H7" s="7"/>
      <c r="I7" s="7"/>
      <c r="J7" s="7"/>
      <c r="K7" s="7"/>
      <c r="L7" s="7"/>
      <c r="M7" s="7"/>
      <c r="N7" s="7"/>
      <c r="O7" s="7"/>
      <c r="P7" s="7"/>
      <c r="Q7" s="7"/>
      <c r="R7" s="7"/>
      <c r="S7" s="7"/>
      <c r="T7" s="7"/>
    </row>
    <row r="8" spans="1:71" x14ac:dyDescent="0.25">
      <c r="A8" s="4" t="s">
        <v>1</v>
      </c>
      <c r="B8" s="4"/>
      <c r="C8" s="4"/>
      <c r="D8" s="4"/>
      <c r="E8" s="4"/>
      <c r="F8" s="4"/>
      <c r="G8" s="4"/>
      <c r="H8" s="4"/>
      <c r="I8" s="4"/>
      <c r="J8" s="4"/>
      <c r="K8" s="4"/>
      <c r="M8" s="4" t="s">
        <v>187</v>
      </c>
      <c r="N8" s="4"/>
      <c r="O8" s="4"/>
      <c r="P8" s="4"/>
      <c r="Q8" s="4"/>
      <c r="R8" s="4"/>
      <c r="S8" s="4"/>
      <c r="T8" s="4"/>
      <c r="U8" s="4"/>
      <c r="V8" s="4"/>
      <c r="W8" s="4"/>
      <c r="Y8" s="4" t="s">
        <v>299</v>
      </c>
      <c r="Z8" s="4"/>
      <c r="AA8" s="4"/>
      <c r="AB8" s="4"/>
      <c r="AC8" s="4"/>
      <c r="AD8" s="4"/>
      <c r="AE8" s="4"/>
      <c r="AF8" s="4"/>
      <c r="AG8" s="4"/>
      <c r="AH8" s="4"/>
      <c r="AI8" s="4"/>
      <c r="AK8" s="4" t="s">
        <v>415</v>
      </c>
      <c r="AL8" s="4"/>
      <c r="AM8" s="4"/>
      <c r="AN8" s="4"/>
      <c r="AO8" s="4"/>
      <c r="AP8" s="4"/>
      <c r="AQ8" s="4"/>
      <c r="AR8" s="4"/>
      <c r="AS8" s="4"/>
      <c r="AT8" s="4"/>
      <c r="AU8" s="4"/>
      <c r="AW8" s="4" t="s">
        <v>533</v>
      </c>
      <c r="AX8" s="4"/>
      <c r="AY8" s="4"/>
      <c r="AZ8" s="4"/>
      <c r="BA8" s="4"/>
      <c r="BB8" s="4"/>
      <c r="BC8" s="4"/>
      <c r="BD8" s="4"/>
      <c r="BE8" s="4"/>
      <c r="BF8" s="4"/>
      <c r="BG8" s="4"/>
      <c r="BI8" s="4" t="s">
        <v>1</v>
      </c>
      <c r="BJ8" s="4"/>
      <c r="BK8" s="4"/>
      <c r="BL8" s="4"/>
      <c r="BM8" s="4"/>
      <c r="BN8" s="4"/>
      <c r="BO8" s="4"/>
      <c r="BP8" s="4"/>
      <c r="BQ8" s="4"/>
      <c r="BR8" s="4"/>
      <c r="BS8" s="4"/>
    </row>
    <row r="9" spans="1:71" x14ac:dyDescent="0.25">
      <c r="A9" s="4" t="s">
        <v>2659</v>
      </c>
      <c r="B9" s="4" t="s">
        <v>2660</v>
      </c>
      <c r="C9" s="4" t="s">
        <v>2661</v>
      </c>
      <c r="D9" s="4" t="s">
        <v>2662</v>
      </c>
      <c r="E9" s="4" t="s">
        <v>2663</v>
      </c>
      <c r="F9" s="4" t="s">
        <v>2664</v>
      </c>
      <c r="G9" s="4" t="s">
        <v>2665</v>
      </c>
      <c r="H9" s="4" t="s">
        <v>2666</v>
      </c>
      <c r="I9" s="4" t="s">
        <v>2667</v>
      </c>
      <c r="J9" s="4" t="s">
        <v>2668</v>
      </c>
      <c r="K9" s="4" t="s">
        <v>2669</v>
      </c>
      <c r="M9" s="4" t="s">
        <v>2659</v>
      </c>
      <c r="N9" s="4" t="s">
        <v>2660</v>
      </c>
      <c r="O9" s="4" t="s">
        <v>2661</v>
      </c>
      <c r="P9" s="4" t="s">
        <v>2662</v>
      </c>
      <c r="Q9" s="4" t="s">
        <v>2663</v>
      </c>
      <c r="R9" s="4" t="s">
        <v>2664</v>
      </c>
      <c r="S9" s="4" t="s">
        <v>2665</v>
      </c>
      <c r="T9" s="4" t="s">
        <v>2666</v>
      </c>
      <c r="U9" s="4" t="s">
        <v>2667</v>
      </c>
      <c r="V9" s="4" t="s">
        <v>2668</v>
      </c>
      <c r="W9" s="4" t="s">
        <v>2669</v>
      </c>
      <c r="Y9" s="4" t="s">
        <v>2659</v>
      </c>
      <c r="Z9" s="4" t="s">
        <v>2660</v>
      </c>
      <c r="AA9" s="4" t="s">
        <v>2661</v>
      </c>
      <c r="AB9" s="4" t="s">
        <v>2662</v>
      </c>
      <c r="AC9" s="4" t="s">
        <v>2663</v>
      </c>
      <c r="AD9" s="4" t="s">
        <v>2664</v>
      </c>
      <c r="AE9" s="4" t="s">
        <v>2665</v>
      </c>
      <c r="AF9" s="4" t="s">
        <v>2666</v>
      </c>
      <c r="AG9" s="4" t="s">
        <v>2667</v>
      </c>
      <c r="AH9" s="4" t="s">
        <v>2668</v>
      </c>
      <c r="AI9" s="4" t="s">
        <v>2669</v>
      </c>
      <c r="AK9" s="4" t="s">
        <v>2659</v>
      </c>
      <c r="AL9" s="4" t="s">
        <v>2660</v>
      </c>
      <c r="AM9" s="4" t="s">
        <v>2661</v>
      </c>
      <c r="AN9" s="4" t="s">
        <v>2662</v>
      </c>
      <c r="AO9" s="4" t="s">
        <v>2663</v>
      </c>
      <c r="AP9" s="4" t="s">
        <v>2664</v>
      </c>
      <c r="AQ9" s="4" t="s">
        <v>2665</v>
      </c>
      <c r="AR9" s="4" t="s">
        <v>2666</v>
      </c>
      <c r="AS9" s="4" t="s">
        <v>2667</v>
      </c>
      <c r="AT9" s="4" t="s">
        <v>2668</v>
      </c>
      <c r="AU9" s="4" t="s">
        <v>2669</v>
      </c>
      <c r="AW9" s="4" t="s">
        <v>2659</v>
      </c>
      <c r="AX9" s="4" t="s">
        <v>2660</v>
      </c>
      <c r="AY9" s="4" t="s">
        <v>2661</v>
      </c>
      <c r="AZ9" s="4" t="s">
        <v>2662</v>
      </c>
      <c r="BA9" s="4" t="s">
        <v>2663</v>
      </c>
      <c r="BB9" s="4" t="s">
        <v>2664</v>
      </c>
      <c r="BC9" s="4" t="s">
        <v>2665</v>
      </c>
      <c r="BD9" s="4" t="s">
        <v>2666</v>
      </c>
      <c r="BE9" s="4" t="s">
        <v>2667</v>
      </c>
      <c r="BF9" s="4" t="s">
        <v>2668</v>
      </c>
      <c r="BG9" s="4" t="s">
        <v>2669</v>
      </c>
      <c r="BI9" s="4" t="s">
        <v>2659</v>
      </c>
      <c r="BJ9" s="4" t="s">
        <v>2660</v>
      </c>
      <c r="BK9" s="4" t="s">
        <v>2661</v>
      </c>
      <c r="BL9" s="4" t="s">
        <v>2662</v>
      </c>
      <c r="BM9" s="4" t="s">
        <v>2663</v>
      </c>
      <c r="BN9" s="4" t="s">
        <v>2664</v>
      </c>
      <c r="BO9" s="4" t="s">
        <v>2665</v>
      </c>
      <c r="BP9" s="4" t="s">
        <v>2666</v>
      </c>
      <c r="BQ9" s="4" t="s">
        <v>2667</v>
      </c>
      <c r="BR9" s="4" t="s">
        <v>2668</v>
      </c>
      <c r="BS9" s="4" t="s">
        <v>2669</v>
      </c>
    </row>
    <row r="10" spans="1:71" x14ac:dyDescent="0.25">
      <c r="A10" s="4">
        <v>1</v>
      </c>
      <c r="B10" s="4">
        <v>2352</v>
      </c>
      <c r="C10" s="4">
        <v>2883</v>
      </c>
      <c r="D10" s="4">
        <v>576672</v>
      </c>
      <c r="E10" s="4">
        <v>576704</v>
      </c>
      <c r="F10" s="4">
        <v>100000</v>
      </c>
      <c r="G10" s="4">
        <v>100032</v>
      </c>
      <c r="H10" s="4">
        <v>0</v>
      </c>
      <c r="I10" s="4">
        <v>3493</v>
      </c>
      <c r="J10" s="4">
        <v>200767</v>
      </c>
      <c r="K10" s="4">
        <v>200768</v>
      </c>
      <c r="M10" s="4">
        <v>1</v>
      </c>
      <c r="N10" s="4">
        <v>2377</v>
      </c>
      <c r="O10" s="4">
        <v>2850</v>
      </c>
      <c r="P10" s="4">
        <v>570094</v>
      </c>
      <c r="Q10" s="4">
        <v>570112</v>
      </c>
      <c r="R10" s="4">
        <v>100000</v>
      </c>
      <c r="S10" s="4">
        <v>100032</v>
      </c>
      <c r="T10" s="4">
        <v>0</v>
      </c>
      <c r="U10" s="4">
        <v>3566</v>
      </c>
      <c r="V10" s="4">
        <v>200840</v>
      </c>
      <c r="W10" s="4">
        <v>200832</v>
      </c>
      <c r="Y10" s="4">
        <v>1</v>
      </c>
      <c r="Z10" s="4">
        <v>2395</v>
      </c>
      <c r="AA10" s="4">
        <v>2828</v>
      </c>
      <c r="AB10" s="4">
        <v>565687</v>
      </c>
      <c r="AC10" s="4">
        <v>565696</v>
      </c>
      <c r="AD10" s="4">
        <v>100000</v>
      </c>
      <c r="AE10" s="4">
        <v>100032</v>
      </c>
      <c r="AF10" s="4">
        <v>0</v>
      </c>
      <c r="AG10" s="4">
        <v>4040</v>
      </c>
      <c r="AH10" s="4">
        <v>201314</v>
      </c>
      <c r="AI10" s="4">
        <v>201344</v>
      </c>
      <c r="AK10" s="4">
        <v>1</v>
      </c>
      <c r="AL10" s="4">
        <v>2421</v>
      </c>
      <c r="AM10" s="4">
        <v>2796</v>
      </c>
      <c r="AN10" s="4">
        <v>559250</v>
      </c>
      <c r="AO10" s="4">
        <v>559232</v>
      </c>
      <c r="AP10" s="4">
        <v>100000</v>
      </c>
      <c r="AQ10" s="4">
        <v>100032</v>
      </c>
      <c r="AR10" s="4">
        <v>95</v>
      </c>
      <c r="AS10" s="4">
        <v>5943</v>
      </c>
      <c r="AT10" s="4">
        <v>203216</v>
      </c>
      <c r="AU10" s="4">
        <v>203200</v>
      </c>
      <c r="AW10" s="4">
        <v>1</v>
      </c>
      <c r="AX10" s="4">
        <v>2441</v>
      </c>
      <c r="AY10" s="4">
        <v>2771</v>
      </c>
      <c r="AZ10" s="4">
        <v>554297</v>
      </c>
      <c r="BA10" s="4">
        <v>554304</v>
      </c>
      <c r="BB10" s="4">
        <v>100000</v>
      </c>
      <c r="BC10" s="4">
        <v>100032</v>
      </c>
      <c r="BD10" s="4">
        <v>481</v>
      </c>
      <c r="BE10" s="4">
        <v>14663</v>
      </c>
      <c r="BF10" s="4">
        <v>211932</v>
      </c>
      <c r="BG10" s="4">
        <v>211904</v>
      </c>
      <c r="BI10" s="4">
        <v>1</v>
      </c>
      <c r="BJ10" s="4">
        <v>2402</v>
      </c>
      <c r="BK10" s="4">
        <v>2818</v>
      </c>
      <c r="BL10" s="4">
        <v>563641</v>
      </c>
      <c r="BM10" s="4">
        <v>563648</v>
      </c>
      <c r="BN10" s="4">
        <v>100000</v>
      </c>
      <c r="BO10" s="4">
        <v>100032</v>
      </c>
      <c r="BP10" s="4">
        <v>0</v>
      </c>
      <c r="BQ10" s="4">
        <v>3675</v>
      </c>
      <c r="BR10" s="4">
        <v>200949</v>
      </c>
      <c r="BS10" s="4">
        <v>200960</v>
      </c>
    </row>
    <row r="11" spans="1:71" x14ac:dyDescent="0.25">
      <c r="A11" s="4">
        <v>2</v>
      </c>
      <c r="B11" s="4">
        <v>2351</v>
      </c>
      <c r="C11" s="4">
        <v>2884</v>
      </c>
      <c r="D11" s="4">
        <v>576688</v>
      </c>
      <c r="E11" s="4">
        <v>576704</v>
      </c>
      <c r="F11" s="4">
        <v>100000</v>
      </c>
      <c r="G11" s="4">
        <v>100032</v>
      </c>
      <c r="H11" s="4">
        <v>0</v>
      </c>
      <c r="I11" s="4">
        <v>3426</v>
      </c>
      <c r="J11" s="4">
        <v>200700</v>
      </c>
      <c r="K11" s="4">
        <v>200704</v>
      </c>
      <c r="M11" s="4">
        <v>2</v>
      </c>
      <c r="N11" s="4">
        <v>2375</v>
      </c>
      <c r="O11" s="4">
        <v>2853</v>
      </c>
      <c r="P11" s="4">
        <v>570406</v>
      </c>
      <c r="Q11" s="4">
        <v>570432</v>
      </c>
      <c r="R11" s="4">
        <v>100000</v>
      </c>
      <c r="S11" s="4">
        <v>100032</v>
      </c>
      <c r="T11" s="4">
        <v>0</v>
      </c>
      <c r="U11" s="4">
        <v>3622</v>
      </c>
      <c r="V11" s="4">
        <v>200896</v>
      </c>
      <c r="W11" s="4">
        <v>200896</v>
      </c>
      <c r="Y11" s="4">
        <v>2</v>
      </c>
      <c r="Z11" s="4">
        <v>2393</v>
      </c>
      <c r="AA11" s="4">
        <v>2830</v>
      </c>
      <c r="AB11" s="4">
        <v>566000</v>
      </c>
      <c r="AC11" s="4">
        <v>566016</v>
      </c>
      <c r="AD11" s="4">
        <v>100000</v>
      </c>
      <c r="AE11" s="4">
        <v>100032</v>
      </c>
      <c r="AF11" s="4">
        <v>3</v>
      </c>
      <c r="AG11" s="4">
        <v>4248</v>
      </c>
      <c r="AH11" s="4">
        <v>201522</v>
      </c>
      <c r="AI11" s="4">
        <v>201536</v>
      </c>
      <c r="AK11" s="4">
        <v>2</v>
      </c>
      <c r="AL11" s="4">
        <v>2419</v>
      </c>
      <c r="AM11" s="4">
        <v>2798</v>
      </c>
      <c r="AN11" s="4">
        <v>559703</v>
      </c>
      <c r="AO11" s="4">
        <v>559680</v>
      </c>
      <c r="AP11" s="4">
        <v>100000</v>
      </c>
      <c r="AQ11" s="4">
        <v>100032</v>
      </c>
      <c r="AR11" s="4">
        <v>92</v>
      </c>
      <c r="AS11" s="4">
        <v>5892</v>
      </c>
      <c r="AT11" s="4">
        <v>203165</v>
      </c>
      <c r="AU11" s="4">
        <v>203136</v>
      </c>
      <c r="AW11" s="4">
        <v>2</v>
      </c>
      <c r="AX11" s="4">
        <v>2440</v>
      </c>
      <c r="AY11" s="4">
        <v>2772</v>
      </c>
      <c r="AZ11" s="4">
        <v>554391</v>
      </c>
      <c r="BA11" s="4">
        <v>554368</v>
      </c>
      <c r="BB11" s="4">
        <v>100000</v>
      </c>
      <c r="BC11" s="4">
        <v>100032</v>
      </c>
      <c r="BD11" s="4">
        <v>482</v>
      </c>
      <c r="BE11" s="4">
        <v>14692</v>
      </c>
      <c r="BF11" s="4">
        <v>211961</v>
      </c>
      <c r="BG11" s="4">
        <v>211968</v>
      </c>
      <c r="BI11" s="4">
        <v>2</v>
      </c>
      <c r="BJ11" s="4">
        <v>2403</v>
      </c>
      <c r="BK11" s="4">
        <v>2817</v>
      </c>
      <c r="BL11" s="4">
        <v>563453</v>
      </c>
      <c r="BM11" s="4">
        <v>563456</v>
      </c>
      <c r="BN11" s="4">
        <v>100000</v>
      </c>
      <c r="BO11" s="4">
        <v>100032</v>
      </c>
      <c r="BP11" s="4">
        <v>0</v>
      </c>
      <c r="BQ11" s="4">
        <v>3596</v>
      </c>
      <c r="BR11" s="4">
        <v>200870</v>
      </c>
      <c r="BS11" s="4">
        <v>200896</v>
      </c>
    </row>
    <row r="12" spans="1:71" x14ac:dyDescent="0.25">
      <c r="A12" s="4">
        <v>3</v>
      </c>
      <c r="B12" s="4">
        <v>2350</v>
      </c>
      <c r="C12" s="4">
        <v>2885</v>
      </c>
      <c r="D12" s="4">
        <v>577016</v>
      </c>
      <c r="E12" s="4">
        <v>577024</v>
      </c>
      <c r="F12" s="4">
        <v>100000</v>
      </c>
      <c r="G12" s="4">
        <v>100032</v>
      </c>
      <c r="H12" s="4">
        <v>0</v>
      </c>
      <c r="I12" s="4">
        <v>3646</v>
      </c>
      <c r="J12" s="4">
        <v>200920</v>
      </c>
      <c r="K12" s="4">
        <v>200896</v>
      </c>
      <c r="M12" s="4">
        <v>3</v>
      </c>
      <c r="N12" s="4">
        <v>2375</v>
      </c>
      <c r="O12" s="4">
        <v>2853</v>
      </c>
      <c r="P12" s="4">
        <v>570719</v>
      </c>
      <c r="Q12" s="4">
        <v>570688</v>
      </c>
      <c r="R12" s="4">
        <v>100000</v>
      </c>
      <c r="S12" s="4">
        <v>100032</v>
      </c>
      <c r="T12" s="4">
        <v>0</v>
      </c>
      <c r="U12" s="4">
        <v>3502</v>
      </c>
      <c r="V12" s="4">
        <v>200776</v>
      </c>
      <c r="W12" s="4">
        <v>200768</v>
      </c>
      <c r="Y12" s="4">
        <v>3</v>
      </c>
      <c r="Z12" s="4">
        <v>2392</v>
      </c>
      <c r="AA12" s="4">
        <v>2831</v>
      </c>
      <c r="AB12" s="4">
        <v>566219</v>
      </c>
      <c r="AC12" s="4">
        <v>566208</v>
      </c>
      <c r="AD12" s="4">
        <v>100000</v>
      </c>
      <c r="AE12" s="4">
        <v>100032</v>
      </c>
      <c r="AF12" s="4">
        <v>4</v>
      </c>
      <c r="AG12" s="4">
        <v>4257</v>
      </c>
      <c r="AH12" s="4">
        <v>201531</v>
      </c>
      <c r="AI12" s="4">
        <v>201536</v>
      </c>
      <c r="AK12" s="4">
        <v>3</v>
      </c>
      <c r="AL12" s="4">
        <v>2417</v>
      </c>
      <c r="AM12" s="4">
        <v>2800</v>
      </c>
      <c r="AN12" s="4">
        <v>560016</v>
      </c>
      <c r="AO12" s="4">
        <v>560000</v>
      </c>
      <c r="AP12" s="4">
        <v>100000</v>
      </c>
      <c r="AQ12" s="4">
        <v>100032</v>
      </c>
      <c r="AR12" s="4">
        <v>87</v>
      </c>
      <c r="AS12" s="4">
        <v>5781</v>
      </c>
      <c r="AT12" s="4">
        <v>203054</v>
      </c>
      <c r="AU12" s="4">
        <v>203072</v>
      </c>
      <c r="AW12" s="4">
        <v>3</v>
      </c>
      <c r="AX12" s="4">
        <v>2440</v>
      </c>
      <c r="AY12" s="4">
        <v>2773</v>
      </c>
      <c r="AZ12" s="4">
        <v>554500</v>
      </c>
      <c r="BA12" s="4">
        <v>554496</v>
      </c>
      <c r="BB12" s="4">
        <v>100000</v>
      </c>
      <c r="BC12" s="4">
        <v>100032</v>
      </c>
      <c r="BD12" s="4">
        <v>484</v>
      </c>
      <c r="BE12" s="4">
        <v>14745</v>
      </c>
      <c r="BF12" s="4">
        <v>212014</v>
      </c>
      <c r="BG12" s="4">
        <v>212032</v>
      </c>
      <c r="BI12" s="4">
        <v>3</v>
      </c>
      <c r="BJ12" s="4">
        <v>2404</v>
      </c>
      <c r="BK12" s="4">
        <v>2816</v>
      </c>
      <c r="BL12" s="4">
        <v>563265</v>
      </c>
      <c r="BM12" s="4">
        <v>563264</v>
      </c>
      <c r="BN12" s="4">
        <v>100000</v>
      </c>
      <c r="BO12" s="4">
        <v>100032</v>
      </c>
      <c r="BP12" s="4">
        <v>0</v>
      </c>
      <c r="BQ12" s="4">
        <v>3480</v>
      </c>
      <c r="BR12" s="4">
        <v>200754</v>
      </c>
      <c r="BS12" s="4">
        <v>200768</v>
      </c>
    </row>
    <row r="13" spans="1:71" x14ac:dyDescent="0.25">
      <c r="A13" s="4">
        <v>4</v>
      </c>
      <c r="B13" s="4">
        <v>2349</v>
      </c>
      <c r="C13" s="4">
        <v>2886</v>
      </c>
      <c r="D13" s="4">
        <v>577297</v>
      </c>
      <c r="E13" s="4">
        <v>577280</v>
      </c>
      <c r="F13" s="4">
        <v>100000</v>
      </c>
      <c r="G13" s="4">
        <v>100032</v>
      </c>
      <c r="H13" s="4">
        <v>0</v>
      </c>
      <c r="I13" s="4">
        <v>3460</v>
      </c>
      <c r="J13" s="4">
        <v>200734</v>
      </c>
      <c r="K13" s="4">
        <v>200704</v>
      </c>
      <c r="M13" s="4">
        <v>4</v>
      </c>
      <c r="N13" s="4">
        <v>2374</v>
      </c>
      <c r="O13" s="4">
        <v>2854</v>
      </c>
      <c r="P13" s="4">
        <v>570844</v>
      </c>
      <c r="Q13" s="4">
        <v>570816</v>
      </c>
      <c r="R13" s="4">
        <v>100000</v>
      </c>
      <c r="S13" s="4">
        <v>100032</v>
      </c>
      <c r="T13" s="4">
        <v>0</v>
      </c>
      <c r="U13" s="4">
        <v>3060</v>
      </c>
      <c r="V13" s="4">
        <v>200334</v>
      </c>
      <c r="W13" s="4">
        <v>200320</v>
      </c>
      <c r="Y13" s="4">
        <v>4</v>
      </c>
      <c r="Z13" s="4">
        <v>2391</v>
      </c>
      <c r="AA13" s="4">
        <v>2832</v>
      </c>
      <c r="AB13" s="4">
        <v>566375</v>
      </c>
      <c r="AC13" s="4">
        <v>566400</v>
      </c>
      <c r="AD13" s="4">
        <v>100000</v>
      </c>
      <c r="AE13" s="4">
        <v>100032</v>
      </c>
      <c r="AF13" s="4">
        <v>0</v>
      </c>
      <c r="AG13" s="4">
        <v>4199</v>
      </c>
      <c r="AH13" s="4">
        <v>201473</v>
      </c>
      <c r="AI13" s="4">
        <v>201472</v>
      </c>
      <c r="AK13" s="4">
        <v>4</v>
      </c>
      <c r="AL13" s="4">
        <v>2417</v>
      </c>
      <c r="AM13" s="4">
        <v>2801</v>
      </c>
      <c r="AN13" s="4">
        <v>560219</v>
      </c>
      <c r="AO13" s="4">
        <v>560192</v>
      </c>
      <c r="AP13" s="4">
        <v>100000</v>
      </c>
      <c r="AQ13" s="4">
        <v>100032</v>
      </c>
      <c r="AR13" s="4">
        <v>97</v>
      </c>
      <c r="AS13" s="4">
        <v>5977</v>
      </c>
      <c r="AT13" s="4">
        <v>203250</v>
      </c>
      <c r="AU13" s="4">
        <v>203264</v>
      </c>
      <c r="AW13" s="4">
        <v>4</v>
      </c>
      <c r="AX13" s="4">
        <v>2439</v>
      </c>
      <c r="AY13" s="4">
        <v>2774</v>
      </c>
      <c r="AZ13" s="4">
        <v>554828</v>
      </c>
      <c r="BA13" s="4">
        <v>554816</v>
      </c>
      <c r="BB13" s="4">
        <v>100000</v>
      </c>
      <c r="BC13" s="4">
        <v>100032</v>
      </c>
      <c r="BD13" s="4">
        <v>484</v>
      </c>
      <c r="BE13" s="4">
        <v>14749</v>
      </c>
      <c r="BF13" s="4">
        <v>212018</v>
      </c>
      <c r="BG13" s="4">
        <v>212032</v>
      </c>
      <c r="BI13" s="4">
        <v>4</v>
      </c>
      <c r="BJ13" s="4">
        <v>2404</v>
      </c>
      <c r="BK13" s="4">
        <v>2816</v>
      </c>
      <c r="BL13" s="4">
        <v>563234</v>
      </c>
      <c r="BM13" s="4">
        <v>563264</v>
      </c>
      <c r="BN13" s="4">
        <v>100000</v>
      </c>
      <c r="BO13" s="4">
        <v>100032</v>
      </c>
      <c r="BP13" s="4">
        <v>0</v>
      </c>
      <c r="BQ13" s="4">
        <v>3537</v>
      </c>
      <c r="BR13" s="4">
        <v>200811</v>
      </c>
      <c r="BS13" s="4">
        <v>200832</v>
      </c>
    </row>
    <row r="14" spans="1:71" x14ac:dyDescent="0.25">
      <c r="A14" s="4">
        <v>5</v>
      </c>
      <c r="B14" s="4">
        <v>2348</v>
      </c>
      <c r="C14" s="4">
        <v>2888</v>
      </c>
      <c r="D14" s="4">
        <v>577594</v>
      </c>
      <c r="E14" s="4">
        <v>577600</v>
      </c>
      <c r="F14" s="4">
        <v>100000</v>
      </c>
      <c r="G14" s="4">
        <v>100032</v>
      </c>
      <c r="H14" s="4">
        <v>0</v>
      </c>
      <c r="I14" s="4">
        <v>3635</v>
      </c>
      <c r="J14" s="4">
        <v>200909</v>
      </c>
      <c r="K14" s="4">
        <v>200896</v>
      </c>
      <c r="M14" s="4">
        <v>5</v>
      </c>
      <c r="N14" s="4">
        <v>2373</v>
      </c>
      <c r="O14" s="4">
        <v>2856</v>
      </c>
      <c r="P14" s="4">
        <v>571031</v>
      </c>
      <c r="Q14" s="4">
        <v>571008</v>
      </c>
      <c r="R14" s="4">
        <v>100000</v>
      </c>
      <c r="S14" s="4">
        <v>100032</v>
      </c>
      <c r="T14" s="4">
        <v>0</v>
      </c>
      <c r="U14" s="4">
        <v>3591</v>
      </c>
      <c r="V14" s="4">
        <v>200865</v>
      </c>
      <c r="W14" s="4">
        <v>200896</v>
      </c>
      <c r="Y14" s="4">
        <v>5</v>
      </c>
      <c r="Z14" s="4">
        <v>2391</v>
      </c>
      <c r="AA14" s="4">
        <v>2832</v>
      </c>
      <c r="AB14" s="4">
        <v>566547</v>
      </c>
      <c r="AC14" s="4">
        <v>566528</v>
      </c>
      <c r="AD14" s="4">
        <v>100000</v>
      </c>
      <c r="AE14" s="4">
        <v>100032</v>
      </c>
      <c r="AF14" s="4">
        <v>0</v>
      </c>
      <c r="AG14" s="4">
        <v>4105</v>
      </c>
      <c r="AH14" s="4">
        <v>201379</v>
      </c>
      <c r="AI14" s="4">
        <v>201408</v>
      </c>
      <c r="AK14" s="4">
        <v>5</v>
      </c>
      <c r="AL14" s="4">
        <v>2415</v>
      </c>
      <c r="AM14" s="4">
        <v>2803</v>
      </c>
      <c r="AN14" s="4">
        <v>560594</v>
      </c>
      <c r="AO14" s="4">
        <v>560576</v>
      </c>
      <c r="AP14" s="4">
        <v>100000</v>
      </c>
      <c r="AQ14" s="4">
        <v>100032</v>
      </c>
      <c r="AR14" s="4">
        <v>90</v>
      </c>
      <c r="AS14" s="4">
        <v>5853</v>
      </c>
      <c r="AT14" s="4">
        <v>203126</v>
      </c>
      <c r="AU14" s="4">
        <v>203136</v>
      </c>
      <c r="AW14" s="4">
        <v>5</v>
      </c>
      <c r="AX14" s="4">
        <v>2437</v>
      </c>
      <c r="AY14" s="4">
        <v>2776</v>
      </c>
      <c r="AZ14" s="4">
        <v>555156</v>
      </c>
      <c r="BA14" s="4">
        <v>555136</v>
      </c>
      <c r="BB14" s="4">
        <v>100000</v>
      </c>
      <c r="BC14" s="4">
        <v>100032</v>
      </c>
      <c r="BD14" s="4">
        <v>489</v>
      </c>
      <c r="BE14" s="4">
        <v>14859</v>
      </c>
      <c r="BF14" s="4">
        <v>212128</v>
      </c>
      <c r="BG14" s="4">
        <v>212160</v>
      </c>
      <c r="BI14" s="4">
        <v>5</v>
      </c>
      <c r="BJ14" s="4">
        <v>2404</v>
      </c>
      <c r="BK14" s="4">
        <v>2816</v>
      </c>
      <c r="BL14" s="4">
        <v>563203</v>
      </c>
      <c r="BM14" s="4">
        <v>563200</v>
      </c>
      <c r="BN14" s="4">
        <v>100000</v>
      </c>
      <c r="BO14" s="4">
        <v>100032</v>
      </c>
      <c r="BP14" s="4">
        <v>0</v>
      </c>
      <c r="BQ14" s="4">
        <v>3577</v>
      </c>
      <c r="BR14" s="4">
        <v>200851</v>
      </c>
      <c r="BS14" s="4">
        <v>200832</v>
      </c>
    </row>
    <row r="15" spans="1:71" x14ac:dyDescent="0.25">
      <c r="A15" s="4">
        <v>6</v>
      </c>
      <c r="B15" s="4">
        <v>2347</v>
      </c>
      <c r="C15" s="4">
        <v>2889</v>
      </c>
      <c r="D15" s="4">
        <v>577813</v>
      </c>
      <c r="E15" s="4">
        <v>577792</v>
      </c>
      <c r="F15" s="4">
        <v>100000</v>
      </c>
      <c r="G15" s="4">
        <v>100032</v>
      </c>
      <c r="H15" s="4">
        <v>0</v>
      </c>
      <c r="I15" s="4">
        <v>3644</v>
      </c>
      <c r="J15" s="4">
        <v>200918</v>
      </c>
      <c r="K15" s="4">
        <v>200896</v>
      </c>
      <c r="M15" s="4">
        <v>6</v>
      </c>
      <c r="N15" s="4">
        <v>2372</v>
      </c>
      <c r="O15" s="4">
        <v>2857</v>
      </c>
      <c r="P15" s="4">
        <v>571438</v>
      </c>
      <c r="Q15" s="4">
        <v>571456</v>
      </c>
      <c r="R15" s="4">
        <v>100000</v>
      </c>
      <c r="S15" s="4">
        <v>100032</v>
      </c>
      <c r="T15" s="4">
        <v>0</v>
      </c>
      <c r="U15" s="4">
        <v>3765</v>
      </c>
      <c r="V15" s="4">
        <v>201039</v>
      </c>
      <c r="W15" s="4">
        <v>201024</v>
      </c>
      <c r="Y15" s="4">
        <v>6</v>
      </c>
      <c r="Z15" s="4">
        <v>2390</v>
      </c>
      <c r="AA15" s="4">
        <v>2834</v>
      </c>
      <c r="AB15" s="4">
        <v>566781</v>
      </c>
      <c r="AC15" s="4">
        <v>566784</v>
      </c>
      <c r="AD15" s="4">
        <v>100000</v>
      </c>
      <c r="AE15" s="4">
        <v>100032</v>
      </c>
      <c r="AF15" s="4">
        <v>7</v>
      </c>
      <c r="AG15" s="4">
        <v>4304</v>
      </c>
      <c r="AH15" s="4">
        <v>201578</v>
      </c>
      <c r="AI15" s="4">
        <v>201600</v>
      </c>
      <c r="AK15" s="4">
        <v>6</v>
      </c>
      <c r="AL15" s="4">
        <v>2414</v>
      </c>
      <c r="AM15" s="4">
        <v>2804</v>
      </c>
      <c r="AN15" s="4">
        <v>560906</v>
      </c>
      <c r="AO15" s="4">
        <v>560896</v>
      </c>
      <c r="AP15" s="4">
        <v>100000</v>
      </c>
      <c r="AQ15" s="4">
        <v>100032</v>
      </c>
      <c r="AR15" s="4">
        <v>102</v>
      </c>
      <c r="AS15" s="4">
        <v>6083</v>
      </c>
      <c r="AT15" s="4">
        <v>203356</v>
      </c>
      <c r="AU15" s="4">
        <v>203328</v>
      </c>
      <c r="AW15" s="4">
        <v>6</v>
      </c>
      <c r="AX15" s="4">
        <v>2437</v>
      </c>
      <c r="AY15" s="4">
        <v>2776</v>
      </c>
      <c r="AZ15" s="4">
        <v>555188</v>
      </c>
      <c r="BA15" s="4">
        <v>555200</v>
      </c>
      <c r="BB15" s="4">
        <v>100000</v>
      </c>
      <c r="BC15" s="4">
        <v>100032</v>
      </c>
      <c r="BD15" s="4">
        <v>490</v>
      </c>
      <c r="BE15" s="4">
        <v>14887</v>
      </c>
      <c r="BF15" s="4">
        <v>212156</v>
      </c>
      <c r="BG15" s="4">
        <v>212160</v>
      </c>
      <c r="BI15" s="4">
        <v>6</v>
      </c>
      <c r="BJ15" s="4">
        <v>2404</v>
      </c>
      <c r="BK15" s="4">
        <v>2816</v>
      </c>
      <c r="BL15" s="4">
        <v>563172</v>
      </c>
      <c r="BM15" s="4">
        <v>563200</v>
      </c>
      <c r="BN15" s="4">
        <v>100000</v>
      </c>
      <c r="BO15" s="4">
        <v>100032</v>
      </c>
      <c r="BP15" s="4">
        <v>0</v>
      </c>
      <c r="BQ15" s="4">
        <v>3658</v>
      </c>
      <c r="BR15" s="4">
        <v>200932</v>
      </c>
      <c r="BS15" s="4">
        <v>200960</v>
      </c>
    </row>
    <row r="16" spans="1:71" x14ac:dyDescent="0.25">
      <c r="A16" s="4">
        <v>7</v>
      </c>
      <c r="B16" s="4">
        <v>2347</v>
      </c>
      <c r="C16" s="4">
        <v>2889</v>
      </c>
      <c r="D16" s="4">
        <v>577797</v>
      </c>
      <c r="E16" s="4">
        <v>577792</v>
      </c>
      <c r="F16" s="4">
        <v>100000</v>
      </c>
      <c r="G16" s="4">
        <v>100032</v>
      </c>
      <c r="H16" s="4">
        <v>0</v>
      </c>
      <c r="I16" s="4">
        <v>3577</v>
      </c>
      <c r="J16" s="4">
        <v>200851</v>
      </c>
      <c r="K16" s="4">
        <v>200832</v>
      </c>
      <c r="M16" s="4">
        <v>7</v>
      </c>
      <c r="N16" s="4">
        <v>2371</v>
      </c>
      <c r="O16" s="4">
        <v>2858</v>
      </c>
      <c r="P16" s="4">
        <v>571641</v>
      </c>
      <c r="Q16" s="4">
        <v>571648</v>
      </c>
      <c r="R16" s="4">
        <v>100000</v>
      </c>
      <c r="S16" s="4">
        <v>100032</v>
      </c>
      <c r="T16" s="4">
        <v>0</v>
      </c>
      <c r="U16" s="4">
        <v>3921</v>
      </c>
      <c r="V16" s="4">
        <v>201195</v>
      </c>
      <c r="W16" s="4">
        <v>201216</v>
      </c>
      <c r="Y16" s="4">
        <v>7</v>
      </c>
      <c r="Z16" s="4">
        <v>2388</v>
      </c>
      <c r="AA16" s="4">
        <v>2836</v>
      </c>
      <c r="AB16" s="4">
        <v>567109</v>
      </c>
      <c r="AC16" s="4">
        <v>567104</v>
      </c>
      <c r="AD16" s="4">
        <v>100000</v>
      </c>
      <c r="AE16" s="4">
        <v>100032</v>
      </c>
      <c r="AF16" s="4">
        <v>0</v>
      </c>
      <c r="AG16" s="4">
        <v>4134</v>
      </c>
      <c r="AH16" s="4">
        <v>201408</v>
      </c>
      <c r="AI16" s="4">
        <v>201408</v>
      </c>
      <c r="AK16" s="4">
        <v>7</v>
      </c>
      <c r="AL16" s="4">
        <v>2413</v>
      </c>
      <c r="AM16" s="4">
        <v>2805</v>
      </c>
      <c r="AN16" s="4">
        <v>561032</v>
      </c>
      <c r="AO16" s="4">
        <v>561024</v>
      </c>
      <c r="AP16" s="4">
        <v>100000</v>
      </c>
      <c r="AQ16" s="4">
        <v>100032</v>
      </c>
      <c r="AR16" s="4">
        <v>96</v>
      </c>
      <c r="AS16" s="4">
        <v>5975</v>
      </c>
      <c r="AT16" s="4">
        <v>203248</v>
      </c>
      <c r="AU16" s="4">
        <v>203264</v>
      </c>
      <c r="AW16" s="4">
        <v>7</v>
      </c>
      <c r="AX16" s="4">
        <v>2438</v>
      </c>
      <c r="AY16" s="4">
        <v>2775</v>
      </c>
      <c r="AZ16" s="4">
        <v>554953</v>
      </c>
      <c r="BA16" s="4">
        <v>554944</v>
      </c>
      <c r="BB16" s="4">
        <v>100000</v>
      </c>
      <c r="BC16" s="4">
        <v>100032</v>
      </c>
      <c r="BD16" s="4">
        <v>484</v>
      </c>
      <c r="BE16" s="4">
        <v>14737</v>
      </c>
      <c r="BF16" s="4">
        <v>212006</v>
      </c>
      <c r="BG16" s="4">
        <v>212032</v>
      </c>
      <c r="BI16" s="4">
        <v>7</v>
      </c>
      <c r="BJ16" s="4">
        <v>2404</v>
      </c>
      <c r="BK16" s="4">
        <v>2816</v>
      </c>
      <c r="BL16" s="4">
        <v>563172</v>
      </c>
      <c r="BM16" s="4">
        <v>563200</v>
      </c>
      <c r="BN16" s="4">
        <v>100000</v>
      </c>
      <c r="BO16" s="4">
        <v>100032</v>
      </c>
      <c r="BP16" s="4">
        <v>0</v>
      </c>
      <c r="BQ16" s="4">
        <v>3610</v>
      </c>
      <c r="BR16" s="4">
        <v>200884</v>
      </c>
      <c r="BS16" s="4">
        <v>200896</v>
      </c>
    </row>
    <row r="17" spans="1:71" x14ac:dyDescent="0.25">
      <c r="A17" s="4">
        <v>8</v>
      </c>
      <c r="B17" s="4">
        <v>2347</v>
      </c>
      <c r="C17" s="4">
        <v>2889</v>
      </c>
      <c r="D17" s="4">
        <v>577844</v>
      </c>
      <c r="E17" s="4">
        <v>577856</v>
      </c>
      <c r="F17" s="4">
        <v>100000</v>
      </c>
      <c r="G17" s="4">
        <v>100032</v>
      </c>
      <c r="H17" s="4">
        <v>0</v>
      </c>
      <c r="I17" s="4">
        <v>3602</v>
      </c>
      <c r="J17" s="4">
        <v>200876</v>
      </c>
      <c r="K17" s="4">
        <v>200896</v>
      </c>
      <c r="M17" s="4">
        <v>8</v>
      </c>
      <c r="N17" s="4">
        <v>2370</v>
      </c>
      <c r="O17" s="4">
        <v>2859</v>
      </c>
      <c r="P17" s="4">
        <v>571781</v>
      </c>
      <c r="Q17" s="4">
        <v>571776</v>
      </c>
      <c r="R17" s="4">
        <v>100000</v>
      </c>
      <c r="S17" s="4">
        <v>100032</v>
      </c>
      <c r="T17" s="4">
        <v>0</v>
      </c>
      <c r="U17" s="4">
        <v>3747</v>
      </c>
      <c r="V17" s="4">
        <v>201021</v>
      </c>
      <c r="W17" s="4">
        <v>201024</v>
      </c>
      <c r="Y17" s="4">
        <v>8</v>
      </c>
      <c r="Z17" s="4">
        <v>2388</v>
      </c>
      <c r="AA17" s="4">
        <v>2837</v>
      </c>
      <c r="AB17" s="4">
        <v>567484</v>
      </c>
      <c r="AC17" s="4">
        <v>567488</v>
      </c>
      <c r="AD17" s="4">
        <v>100000</v>
      </c>
      <c r="AE17" s="4">
        <v>100032</v>
      </c>
      <c r="AF17" s="4">
        <v>10</v>
      </c>
      <c r="AG17" s="4">
        <v>4346</v>
      </c>
      <c r="AH17" s="4">
        <v>201620</v>
      </c>
      <c r="AI17" s="4">
        <v>201600</v>
      </c>
      <c r="AK17" s="4">
        <v>8</v>
      </c>
      <c r="AL17" s="4">
        <v>2414</v>
      </c>
      <c r="AM17" s="4">
        <v>2804</v>
      </c>
      <c r="AN17" s="4">
        <v>560859</v>
      </c>
      <c r="AO17" s="4">
        <v>560832</v>
      </c>
      <c r="AP17" s="4">
        <v>100000</v>
      </c>
      <c r="AQ17" s="4">
        <v>100032</v>
      </c>
      <c r="AR17" s="4">
        <v>97</v>
      </c>
      <c r="AS17" s="4">
        <v>5993</v>
      </c>
      <c r="AT17" s="4">
        <v>203266</v>
      </c>
      <c r="AU17" s="4">
        <v>203264</v>
      </c>
      <c r="AW17" s="4">
        <v>8</v>
      </c>
      <c r="AX17" s="4">
        <v>2438</v>
      </c>
      <c r="AY17" s="4">
        <v>2775</v>
      </c>
      <c r="AZ17" s="4">
        <v>554906</v>
      </c>
      <c r="BA17" s="4">
        <v>554880</v>
      </c>
      <c r="BB17" s="4">
        <v>100000</v>
      </c>
      <c r="BC17" s="4">
        <v>100032</v>
      </c>
      <c r="BD17" s="4">
        <v>498</v>
      </c>
      <c r="BE17" s="4">
        <v>15082</v>
      </c>
      <c r="BF17" s="4">
        <v>212351</v>
      </c>
      <c r="BG17" s="4">
        <v>212352</v>
      </c>
      <c r="BI17" s="4">
        <v>8</v>
      </c>
      <c r="BJ17" s="4">
        <v>2404</v>
      </c>
      <c r="BK17" s="4">
        <v>2816</v>
      </c>
      <c r="BL17" s="4">
        <v>563344</v>
      </c>
      <c r="BM17" s="4">
        <v>563328</v>
      </c>
      <c r="BN17" s="4">
        <v>100000</v>
      </c>
      <c r="BO17" s="4">
        <v>100032</v>
      </c>
      <c r="BP17" s="4">
        <v>0</v>
      </c>
      <c r="BQ17" s="4">
        <v>3715</v>
      </c>
      <c r="BR17" s="4">
        <v>200989</v>
      </c>
      <c r="BS17" s="4">
        <v>200960</v>
      </c>
    </row>
    <row r="18" spans="1:71" x14ac:dyDescent="0.25">
      <c r="A18" s="4">
        <v>9</v>
      </c>
      <c r="B18" s="4">
        <v>2346</v>
      </c>
      <c r="C18" s="4">
        <v>2890</v>
      </c>
      <c r="D18" s="4">
        <v>577969</v>
      </c>
      <c r="E18" s="4">
        <v>577984</v>
      </c>
      <c r="F18" s="4">
        <v>100000</v>
      </c>
      <c r="G18" s="4">
        <v>100032</v>
      </c>
      <c r="H18" s="4">
        <v>0</v>
      </c>
      <c r="I18" s="4">
        <v>3541</v>
      </c>
      <c r="J18" s="4">
        <v>200815</v>
      </c>
      <c r="K18" s="4">
        <v>200832</v>
      </c>
      <c r="M18" s="4">
        <v>9</v>
      </c>
      <c r="N18" s="4">
        <v>2370</v>
      </c>
      <c r="O18" s="4">
        <v>2859</v>
      </c>
      <c r="P18" s="4">
        <v>571797</v>
      </c>
      <c r="Q18" s="4">
        <v>571776</v>
      </c>
      <c r="R18" s="4">
        <v>100000</v>
      </c>
      <c r="S18" s="4">
        <v>100032</v>
      </c>
      <c r="T18" s="4">
        <v>0</v>
      </c>
      <c r="U18" s="4">
        <v>3557</v>
      </c>
      <c r="V18" s="4">
        <v>200831</v>
      </c>
      <c r="W18" s="4">
        <v>200832</v>
      </c>
      <c r="Y18" s="4">
        <v>9</v>
      </c>
      <c r="Z18" s="4">
        <v>2388</v>
      </c>
      <c r="AA18" s="4">
        <v>2837</v>
      </c>
      <c r="AB18" s="4">
        <v>567422</v>
      </c>
      <c r="AC18" s="4">
        <v>567424</v>
      </c>
      <c r="AD18" s="4">
        <v>100000</v>
      </c>
      <c r="AE18" s="4">
        <v>100032</v>
      </c>
      <c r="AF18" s="4">
        <v>4</v>
      </c>
      <c r="AG18" s="4">
        <v>4259</v>
      </c>
      <c r="AH18" s="4">
        <v>201533</v>
      </c>
      <c r="AI18" s="4">
        <v>201536</v>
      </c>
      <c r="AK18" s="4">
        <v>9</v>
      </c>
      <c r="AL18" s="4">
        <v>2415</v>
      </c>
      <c r="AM18" s="4">
        <v>2803</v>
      </c>
      <c r="AN18" s="4">
        <v>560703</v>
      </c>
      <c r="AO18" s="4">
        <v>560704</v>
      </c>
      <c r="AP18" s="4">
        <v>100000</v>
      </c>
      <c r="AQ18" s="4">
        <v>100032</v>
      </c>
      <c r="AR18" s="4">
        <v>97</v>
      </c>
      <c r="AS18" s="4">
        <v>5980</v>
      </c>
      <c r="AT18" s="4">
        <v>203253</v>
      </c>
      <c r="AU18" s="4">
        <v>203264</v>
      </c>
      <c r="AW18" s="4">
        <v>9</v>
      </c>
      <c r="AX18" s="4">
        <v>2438</v>
      </c>
      <c r="AY18" s="4">
        <v>2775</v>
      </c>
      <c r="AZ18" s="4">
        <v>555016</v>
      </c>
      <c r="BA18" s="4">
        <v>555008</v>
      </c>
      <c r="BB18" s="4">
        <v>100000</v>
      </c>
      <c r="BC18" s="4">
        <v>100032</v>
      </c>
      <c r="BD18" s="4">
        <v>494</v>
      </c>
      <c r="BE18" s="4">
        <v>14992</v>
      </c>
      <c r="BF18" s="4">
        <v>212261</v>
      </c>
      <c r="BG18" s="4">
        <v>212288</v>
      </c>
      <c r="BI18" s="4">
        <v>9</v>
      </c>
      <c r="BJ18" s="4">
        <v>2402</v>
      </c>
      <c r="BK18" s="4">
        <v>2818</v>
      </c>
      <c r="BL18" s="4">
        <v>563562</v>
      </c>
      <c r="BM18" s="4">
        <v>563584</v>
      </c>
      <c r="BN18" s="4">
        <v>100000</v>
      </c>
      <c r="BO18" s="4">
        <v>100032</v>
      </c>
      <c r="BP18" s="4">
        <v>0</v>
      </c>
      <c r="BQ18" s="4">
        <v>3648</v>
      </c>
      <c r="BR18" s="4">
        <v>200922</v>
      </c>
      <c r="BS18" s="4">
        <v>200896</v>
      </c>
    </row>
    <row r="19" spans="1:71" x14ac:dyDescent="0.25">
      <c r="A19" s="4">
        <v>10</v>
      </c>
      <c r="B19" s="4">
        <v>2345</v>
      </c>
      <c r="C19" s="4">
        <v>2891</v>
      </c>
      <c r="D19" s="4">
        <v>578203</v>
      </c>
      <c r="E19" s="4">
        <v>578176</v>
      </c>
      <c r="F19" s="4">
        <v>100000</v>
      </c>
      <c r="G19" s="4">
        <v>100032</v>
      </c>
      <c r="H19" s="4">
        <v>0</v>
      </c>
      <c r="I19" s="4">
        <v>3581</v>
      </c>
      <c r="J19" s="4">
        <v>200855</v>
      </c>
      <c r="K19" s="4">
        <v>200832</v>
      </c>
      <c r="M19" s="4">
        <v>10</v>
      </c>
      <c r="N19" s="4">
        <v>2371</v>
      </c>
      <c r="O19" s="4">
        <v>2858</v>
      </c>
      <c r="P19" s="4">
        <v>571625</v>
      </c>
      <c r="Q19" s="4">
        <v>571648</v>
      </c>
      <c r="R19" s="4">
        <v>100000</v>
      </c>
      <c r="S19" s="4">
        <v>100032</v>
      </c>
      <c r="T19" s="4">
        <v>0</v>
      </c>
      <c r="U19" s="4">
        <v>3656</v>
      </c>
      <c r="V19" s="4">
        <v>200930</v>
      </c>
      <c r="W19" s="4">
        <v>200960</v>
      </c>
      <c r="Y19" s="4">
        <v>10</v>
      </c>
      <c r="Z19" s="4">
        <v>2389</v>
      </c>
      <c r="AA19" s="4">
        <v>2835</v>
      </c>
      <c r="AB19" s="4">
        <v>567125</v>
      </c>
      <c r="AC19" s="4">
        <v>567104</v>
      </c>
      <c r="AD19" s="4">
        <v>100000</v>
      </c>
      <c r="AE19" s="4">
        <v>100032</v>
      </c>
      <c r="AF19" s="4">
        <v>7</v>
      </c>
      <c r="AG19" s="4">
        <v>4304</v>
      </c>
      <c r="AH19" s="4">
        <v>201578</v>
      </c>
      <c r="AI19" s="4">
        <v>201600</v>
      </c>
      <c r="AK19" s="4">
        <v>10</v>
      </c>
      <c r="AL19" s="4">
        <v>2416</v>
      </c>
      <c r="AM19" s="4">
        <v>2802</v>
      </c>
      <c r="AN19" s="4">
        <v>560547</v>
      </c>
      <c r="AO19" s="4">
        <v>560576</v>
      </c>
      <c r="AP19" s="4">
        <v>100000</v>
      </c>
      <c r="AQ19" s="4">
        <v>100032</v>
      </c>
      <c r="AR19" s="4">
        <v>85</v>
      </c>
      <c r="AS19" s="4">
        <v>5735</v>
      </c>
      <c r="AT19" s="4">
        <v>203008</v>
      </c>
      <c r="AU19" s="4">
        <v>203008</v>
      </c>
      <c r="AW19" s="4">
        <v>10</v>
      </c>
      <c r="AX19" s="4">
        <v>2438</v>
      </c>
      <c r="AY19" s="4">
        <v>2775</v>
      </c>
      <c r="AZ19" s="4">
        <v>555047</v>
      </c>
      <c r="BA19" s="4">
        <v>555072</v>
      </c>
      <c r="BB19" s="4">
        <v>100000</v>
      </c>
      <c r="BC19" s="4">
        <v>100032</v>
      </c>
      <c r="BD19" s="4">
        <v>493</v>
      </c>
      <c r="BE19" s="4">
        <v>14962</v>
      </c>
      <c r="BF19" s="4">
        <v>212231</v>
      </c>
      <c r="BG19" s="4">
        <v>212224</v>
      </c>
      <c r="BI19" s="4">
        <v>10</v>
      </c>
      <c r="BJ19" s="4">
        <v>2401</v>
      </c>
      <c r="BK19" s="4">
        <v>2820</v>
      </c>
      <c r="BL19" s="4">
        <v>563906</v>
      </c>
      <c r="BM19" s="4">
        <v>563904</v>
      </c>
      <c r="BN19" s="4">
        <v>100000</v>
      </c>
      <c r="BO19" s="4">
        <v>100032</v>
      </c>
      <c r="BP19" s="4">
        <v>0</v>
      </c>
      <c r="BQ19" s="4">
        <v>3667</v>
      </c>
      <c r="BR19" s="4">
        <v>200941</v>
      </c>
      <c r="BS19" s="4">
        <v>200960</v>
      </c>
    </row>
    <row r="20" spans="1:71" x14ac:dyDescent="0.25">
      <c r="A20" s="4">
        <v>11</v>
      </c>
      <c r="B20" s="4">
        <v>2345</v>
      </c>
      <c r="C20" s="4">
        <v>2892</v>
      </c>
      <c r="D20" s="4">
        <v>578500</v>
      </c>
      <c r="E20" s="4">
        <v>578496</v>
      </c>
      <c r="F20" s="4">
        <v>100000</v>
      </c>
      <c r="G20" s="4">
        <v>100032</v>
      </c>
      <c r="H20" s="4">
        <v>0</v>
      </c>
      <c r="I20" s="4">
        <v>3813</v>
      </c>
      <c r="J20" s="4">
        <v>201087</v>
      </c>
      <c r="K20" s="4">
        <v>201088</v>
      </c>
      <c r="M20" s="4">
        <v>11</v>
      </c>
      <c r="N20" s="4">
        <v>2372</v>
      </c>
      <c r="O20" s="4">
        <v>2857</v>
      </c>
      <c r="P20" s="4">
        <v>571453</v>
      </c>
      <c r="Q20" s="4">
        <v>571456</v>
      </c>
      <c r="R20" s="4">
        <v>100000</v>
      </c>
      <c r="S20" s="4">
        <v>100032</v>
      </c>
      <c r="T20" s="4">
        <v>0</v>
      </c>
      <c r="U20" s="4">
        <v>3531</v>
      </c>
      <c r="V20" s="4">
        <v>200805</v>
      </c>
      <c r="W20" s="4">
        <v>200832</v>
      </c>
      <c r="Y20" s="4">
        <v>11</v>
      </c>
      <c r="Z20" s="4">
        <v>2391</v>
      </c>
      <c r="AA20" s="4">
        <v>2833</v>
      </c>
      <c r="AB20" s="4">
        <v>566750</v>
      </c>
      <c r="AC20" s="4">
        <v>566720</v>
      </c>
      <c r="AD20" s="4">
        <v>100000</v>
      </c>
      <c r="AE20" s="4">
        <v>100032</v>
      </c>
      <c r="AF20" s="4">
        <v>0</v>
      </c>
      <c r="AG20" s="4">
        <v>4185</v>
      </c>
      <c r="AH20" s="4">
        <v>201459</v>
      </c>
      <c r="AI20" s="4">
        <v>201472</v>
      </c>
      <c r="AK20" s="4">
        <v>11</v>
      </c>
      <c r="AL20" s="4">
        <v>2417</v>
      </c>
      <c r="AM20" s="4">
        <v>2801</v>
      </c>
      <c r="AN20" s="4">
        <v>560328</v>
      </c>
      <c r="AO20" s="4">
        <v>560320</v>
      </c>
      <c r="AP20" s="4">
        <v>100000</v>
      </c>
      <c r="AQ20" s="4">
        <v>100032</v>
      </c>
      <c r="AR20" s="4">
        <v>91</v>
      </c>
      <c r="AS20" s="4">
        <v>5869</v>
      </c>
      <c r="AT20" s="4">
        <v>203142</v>
      </c>
      <c r="AU20" s="4">
        <v>203136</v>
      </c>
      <c r="AW20" s="4">
        <v>11</v>
      </c>
      <c r="AX20" s="4">
        <v>2437</v>
      </c>
      <c r="AY20" s="4">
        <v>2776</v>
      </c>
      <c r="AZ20" s="4">
        <v>555156</v>
      </c>
      <c r="BA20" s="4">
        <v>555136</v>
      </c>
      <c r="BB20" s="4">
        <v>100000</v>
      </c>
      <c r="BC20" s="4">
        <v>100032</v>
      </c>
      <c r="BD20" s="4">
        <v>495</v>
      </c>
      <c r="BE20" s="4">
        <v>15014</v>
      </c>
      <c r="BF20" s="4">
        <v>212283</v>
      </c>
      <c r="BG20" s="4">
        <v>212288</v>
      </c>
      <c r="BI20" s="4">
        <v>11</v>
      </c>
      <c r="BJ20" s="4">
        <v>2400</v>
      </c>
      <c r="BK20" s="4">
        <v>2821</v>
      </c>
      <c r="BL20" s="4">
        <v>564297</v>
      </c>
      <c r="BM20" s="4">
        <v>564288</v>
      </c>
      <c r="BN20" s="4">
        <v>100000</v>
      </c>
      <c r="BO20" s="4">
        <v>100032</v>
      </c>
      <c r="BP20" s="4">
        <v>0</v>
      </c>
      <c r="BQ20" s="4">
        <v>3445</v>
      </c>
      <c r="BR20" s="4">
        <v>200719</v>
      </c>
      <c r="BS20" s="4">
        <v>200704</v>
      </c>
    </row>
    <row r="21" spans="1:71" x14ac:dyDescent="0.25">
      <c r="A21" s="4">
        <v>12</v>
      </c>
      <c r="B21" s="4">
        <v>2345</v>
      </c>
      <c r="C21" s="4">
        <v>2892</v>
      </c>
      <c r="D21" s="4">
        <v>578500</v>
      </c>
      <c r="E21" s="4">
        <v>578496</v>
      </c>
      <c r="F21" s="4">
        <v>100000</v>
      </c>
      <c r="G21" s="4">
        <v>100032</v>
      </c>
      <c r="H21" s="4">
        <v>0</v>
      </c>
      <c r="I21" s="4">
        <v>3692</v>
      </c>
      <c r="J21" s="4">
        <v>200966</v>
      </c>
      <c r="K21" s="4">
        <v>200960</v>
      </c>
      <c r="M21" s="4">
        <v>12</v>
      </c>
      <c r="N21" s="4">
        <v>2373</v>
      </c>
      <c r="O21" s="4">
        <v>2856</v>
      </c>
      <c r="P21" s="4">
        <v>571312</v>
      </c>
      <c r="Q21" s="4">
        <v>571328</v>
      </c>
      <c r="R21" s="4">
        <v>100000</v>
      </c>
      <c r="S21" s="4">
        <v>100032</v>
      </c>
      <c r="T21" s="4">
        <v>0</v>
      </c>
      <c r="U21" s="4">
        <v>3482</v>
      </c>
      <c r="V21" s="4">
        <v>200756</v>
      </c>
      <c r="W21" s="4">
        <v>200768</v>
      </c>
      <c r="Y21" s="4">
        <v>12</v>
      </c>
      <c r="Z21" s="4">
        <v>2391</v>
      </c>
      <c r="AA21" s="4">
        <v>2833</v>
      </c>
      <c r="AB21" s="4">
        <v>566609</v>
      </c>
      <c r="AC21" s="4">
        <v>566592</v>
      </c>
      <c r="AD21" s="4">
        <v>100000</v>
      </c>
      <c r="AE21" s="4">
        <v>100032</v>
      </c>
      <c r="AF21" s="4">
        <v>4</v>
      </c>
      <c r="AG21" s="4">
        <v>4260</v>
      </c>
      <c r="AH21" s="4">
        <v>201534</v>
      </c>
      <c r="AI21" s="4">
        <v>201536</v>
      </c>
      <c r="AK21" s="4">
        <v>12</v>
      </c>
      <c r="AL21" s="4">
        <v>2416</v>
      </c>
      <c r="AM21" s="4">
        <v>2802</v>
      </c>
      <c r="AN21" s="4">
        <v>560422</v>
      </c>
      <c r="AO21" s="4">
        <v>560448</v>
      </c>
      <c r="AP21" s="4">
        <v>100000</v>
      </c>
      <c r="AQ21" s="4">
        <v>100032</v>
      </c>
      <c r="AR21" s="4">
        <v>113</v>
      </c>
      <c r="AS21" s="4">
        <v>6308</v>
      </c>
      <c r="AT21" s="4">
        <v>203581</v>
      </c>
      <c r="AU21" s="4">
        <v>203584</v>
      </c>
      <c r="AW21" s="4">
        <v>12</v>
      </c>
      <c r="AX21" s="4">
        <v>2436</v>
      </c>
      <c r="AY21" s="4">
        <v>2777</v>
      </c>
      <c r="AZ21" s="4">
        <v>555391</v>
      </c>
      <c r="BA21" s="4">
        <v>555392</v>
      </c>
      <c r="BB21" s="4">
        <v>100000</v>
      </c>
      <c r="BC21" s="4">
        <v>100032</v>
      </c>
      <c r="BD21" s="4">
        <v>492</v>
      </c>
      <c r="BE21" s="4">
        <v>14928</v>
      </c>
      <c r="BF21" s="4">
        <v>212197</v>
      </c>
      <c r="BG21" s="4">
        <v>212224</v>
      </c>
      <c r="BI21" s="4">
        <v>12</v>
      </c>
      <c r="BJ21" s="4">
        <v>2401</v>
      </c>
      <c r="BK21" s="4">
        <v>2820</v>
      </c>
      <c r="BL21" s="4">
        <v>564109</v>
      </c>
      <c r="BM21" s="4">
        <v>564096</v>
      </c>
      <c r="BN21" s="4">
        <v>100000</v>
      </c>
      <c r="BO21" s="4">
        <v>100032</v>
      </c>
      <c r="BP21" s="4">
        <v>0</v>
      </c>
      <c r="BQ21" s="4">
        <v>3467</v>
      </c>
      <c r="BR21" s="4">
        <v>200741</v>
      </c>
      <c r="BS21" s="4">
        <v>200768</v>
      </c>
    </row>
    <row r="22" spans="1:71" x14ac:dyDescent="0.25">
      <c r="A22" s="4">
        <v>13</v>
      </c>
      <c r="B22" s="4">
        <v>2345</v>
      </c>
      <c r="C22" s="4">
        <v>2891</v>
      </c>
      <c r="D22" s="4">
        <v>578297</v>
      </c>
      <c r="E22" s="4">
        <v>578304</v>
      </c>
      <c r="F22" s="4">
        <v>100000</v>
      </c>
      <c r="G22" s="4">
        <v>100032</v>
      </c>
      <c r="H22" s="4">
        <v>0</v>
      </c>
      <c r="I22" s="4">
        <v>3820</v>
      </c>
      <c r="J22" s="4">
        <v>201094</v>
      </c>
      <c r="K22" s="4">
        <v>201088</v>
      </c>
      <c r="M22" s="4">
        <v>13</v>
      </c>
      <c r="N22" s="4">
        <v>2373</v>
      </c>
      <c r="O22" s="4">
        <v>2856</v>
      </c>
      <c r="P22" s="4">
        <v>571281</v>
      </c>
      <c r="Q22" s="4">
        <v>571264</v>
      </c>
      <c r="R22" s="4">
        <v>100000</v>
      </c>
      <c r="S22" s="4">
        <v>100032</v>
      </c>
      <c r="T22" s="4">
        <v>0</v>
      </c>
      <c r="U22" s="4">
        <v>3514</v>
      </c>
      <c r="V22" s="4">
        <v>200788</v>
      </c>
      <c r="W22" s="4">
        <v>200768</v>
      </c>
      <c r="Y22" s="4">
        <v>13</v>
      </c>
      <c r="Z22" s="4">
        <v>2391</v>
      </c>
      <c r="AA22" s="4">
        <v>2832</v>
      </c>
      <c r="AB22" s="4">
        <v>566500</v>
      </c>
      <c r="AC22" s="4">
        <v>566528</v>
      </c>
      <c r="AD22" s="4">
        <v>100000</v>
      </c>
      <c r="AE22" s="4">
        <v>100032</v>
      </c>
      <c r="AF22" s="4">
        <v>5</v>
      </c>
      <c r="AG22" s="4">
        <v>4272</v>
      </c>
      <c r="AH22" s="4">
        <v>201546</v>
      </c>
      <c r="AI22" s="4">
        <v>201536</v>
      </c>
      <c r="AK22" s="4">
        <v>13</v>
      </c>
      <c r="AL22" s="4">
        <v>2415</v>
      </c>
      <c r="AM22" s="4">
        <v>2803</v>
      </c>
      <c r="AN22" s="4">
        <v>560594</v>
      </c>
      <c r="AO22" s="4">
        <v>560576</v>
      </c>
      <c r="AP22" s="4">
        <v>100000</v>
      </c>
      <c r="AQ22" s="4">
        <v>100032</v>
      </c>
      <c r="AR22" s="4">
        <v>91</v>
      </c>
      <c r="AS22" s="4">
        <v>5859</v>
      </c>
      <c r="AT22" s="4">
        <v>203132</v>
      </c>
      <c r="AU22" s="4">
        <v>203136</v>
      </c>
      <c r="AW22" s="4">
        <v>13</v>
      </c>
      <c r="AX22" s="4">
        <v>2436</v>
      </c>
      <c r="AY22" s="4">
        <v>2778</v>
      </c>
      <c r="AZ22" s="4">
        <v>555563</v>
      </c>
      <c r="BA22" s="4">
        <v>555584</v>
      </c>
      <c r="BB22" s="4">
        <v>100000</v>
      </c>
      <c r="BC22" s="4">
        <v>100032</v>
      </c>
      <c r="BD22" s="4">
        <v>477</v>
      </c>
      <c r="BE22" s="4">
        <v>14584</v>
      </c>
      <c r="BF22" s="4">
        <v>211853</v>
      </c>
      <c r="BG22" s="4">
        <v>211840</v>
      </c>
      <c r="BI22" s="4">
        <v>13</v>
      </c>
      <c r="BJ22" s="4">
        <v>2404</v>
      </c>
      <c r="BK22" s="4">
        <v>2816</v>
      </c>
      <c r="BL22" s="4">
        <v>563609</v>
      </c>
      <c r="BM22" s="4">
        <v>563584</v>
      </c>
      <c r="BN22" s="4">
        <v>100000</v>
      </c>
      <c r="BO22" s="4">
        <v>100032</v>
      </c>
      <c r="BP22" s="4">
        <v>0</v>
      </c>
      <c r="BQ22" s="4">
        <v>3468</v>
      </c>
      <c r="BR22" s="4">
        <v>200742</v>
      </c>
      <c r="BS22" s="4">
        <v>200768</v>
      </c>
    </row>
    <row r="23" spans="1:71" x14ac:dyDescent="0.25">
      <c r="A23" s="4">
        <v>14</v>
      </c>
      <c r="B23" s="4">
        <v>2347</v>
      </c>
      <c r="C23" s="4">
        <v>2889</v>
      </c>
      <c r="D23" s="4">
        <v>578016</v>
      </c>
      <c r="E23" s="4">
        <v>578048</v>
      </c>
      <c r="F23" s="4">
        <v>100000</v>
      </c>
      <c r="G23" s="4">
        <v>100032</v>
      </c>
      <c r="H23" s="4">
        <v>0</v>
      </c>
      <c r="I23" s="4">
        <v>3682</v>
      </c>
      <c r="J23" s="4">
        <v>200956</v>
      </c>
      <c r="K23" s="4">
        <v>200960</v>
      </c>
      <c r="M23" s="4">
        <v>14</v>
      </c>
      <c r="N23" s="4">
        <v>2372</v>
      </c>
      <c r="O23" s="4">
        <v>2857</v>
      </c>
      <c r="P23" s="4">
        <v>571344</v>
      </c>
      <c r="Q23" s="4">
        <v>571328</v>
      </c>
      <c r="R23" s="4">
        <v>100000</v>
      </c>
      <c r="S23" s="4">
        <v>100032</v>
      </c>
      <c r="T23" s="4">
        <v>0</v>
      </c>
      <c r="U23" s="4">
        <v>3489</v>
      </c>
      <c r="V23" s="4">
        <v>200763</v>
      </c>
      <c r="W23" s="4">
        <v>200768</v>
      </c>
      <c r="Y23" s="4">
        <v>14</v>
      </c>
      <c r="Z23" s="4">
        <v>2391</v>
      </c>
      <c r="AA23" s="4">
        <v>2832</v>
      </c>
      <c r="AB23" s="4">
        <v>566453</v>
      </c>
      <c r="AC23" s="4">
        <v>566464</v>
      </c>
      <c r="AD23" s="4">
        <v>100000</v>
      </c>
      <c r="AE23" s="4">
        <v>100032</v>
      </c>
      <c r="AF23" s="4">
        <v>0</v>
      </c>
      <c r="AG23" s="4">
        <v>4144</v>
      </c>
      <c r="AH23" s="4">
        <v>201418</v>
      </c>
      <c r="AI23" s="4">
        <v>201408</v>
      </c>
      <c r="AK23" s="4">
        <v>14</v>
      </c>
      <c r="AL23" s="4">
        <v>2415</v>
      </c>
      <c r="AM23" s="4">
        <v>2803</v>
      </c>
      <c r="AN23" s="4">
        <v>560687</v>
      </c>
      <c r="AO23" s="4">
        <v>560704</v>
      </c>
      <c r="AP23" s="4">
        <v>100000</v>
      </c>
      <c r="AQ23" s="4">
        <v>100032</v>
      </c>
      <c r="AR23" s="4">
        <v>88</v>
      </c>
      <c r="AS23" s="4">
        <v>5803</v>
      </c>
      <c r="AT23" s="4">
        <v>203076</v>
      </c>
      <c r="AU23" s="4">
        <v>203072</v>
      </c>
      <c r="AW23" s="4">
        <v>14</v>
      </c>
      <c r="AX23" s="4">
        <v>2434</v>
      </c>
      <c r="AY23" s="4">
        <v>2780</v>
      </c>
      <c r="AZ23" s="4">
        <v>555844</v>
      </c>
      <c r="BA23" s="4">
        <v>555840</v>
      </c>
      <c r="BB23" s="4">
        <v>100000</v>
      </c>
      <c r="BC23" s="4">
        <v>100032</v>
      </c>
      <c r="BD23" s="4">
        <v>490</v>
      </c>
      <c r="BE23" s="4">
        <v>14897</v>
      </c>
      <c r="BF23" s="4">
        <v>212166</v>
      </c>
      <c r="BG23" s="4">
        <v>212160</v>
      </c>
      <c r="BI23" s="4">
        <v>14</v>
      </c>
      <c r="BJ23" s="4">
        <v>2406</v>
      </c>
      <c r="BK23" s="4">
        <v>2814</v>
      </c>
      <c r="BL23" s="4">
        <v>563062</v>
      </c>
      <c r="BM23" s="4">
        <v>563072</v>
      </c>
      <c r="BN23" s="4">
        <v>100000</v>
      </c>
      <c r="BO23" s="4">
        <v>100032</v>
      </c>
      <c r="BP23" s="4">
        <v>0</v>
      </c>
      <c r="BQ23" s="4">
        <v>3489</v>
      </c>
      <c r="BR23" s="4">
        <v>200763</v>
      </c>
      <c r="BS23" s="4">
        <v>200768</v>
      </c>
    </row>
    <row r="24" spans="1:71" x14ac:dyDescent="0.25">
      <c r="A24" s="4">
        <v>15</v>
      </c>
      <c r="B24" s="4">
        <v>2348</v>
      </c>
      <c r="C24" s="4">
        <v>2888</v>
      </c>
      <c r="D24" s="4">
        <v>577750</v>
      </c>
      <c r="E24" s="4">
        <v>577728</v>
      </c>
      <c r="F24" s="4">
        <v>100000</v>
      </c>
      <c r="G24" s="4">
        <v>100032</v>
      </c>
      <c r="H24" s="4">
        <v>0</v>
      </c>
      <c r="I24" s="4">
        <v>3638</v>
      </c>
      <c r="J24" s="4">
        <v>200912</v>
      </c>
      <c r="K24" s="4">
        <v>200896</v>
      </c>
      <c r="M24" s="4">
        <v>15</v>
      </c>
      <c r="N24" s="4">
        <v>2372</v>
      </c>
      <c r="O24" s="4">
        <v>2857</v>
      </c>
      <c r="P24" s="4">
        <v>571453</v>
      </c>
      <c r="Q24" s="4">
        <v>571456</v>
      </c>
      <c r="R24" s="4">
        <v>100000</v>
      </c>
      <c r="S24" s="4">
        <v>100032</v>
      </c>
      <c r="T24" s="4">
        <v>0</v>
      </c>
      <c r="U24" s="4">
        <v>3606</v>
      </c>
      <c r="V24" s="4">
        <v>200880</v>
      </c>
      <c r="W24" s="4">
        <v>200896</v>
      </c>
      <c r="Y24" s="4">
        <v>15</v>
      </c>
      <c r="Z24" s="4">
        <v>2391</v>
      </c>
      <c r="AA24" s="4">
        <v>2832</v>
      </c>
      <c r="AB24" s="4">
        <v>566469</v>
      </c>
      <c r="AC24" s="4">
        <v>566464</v>
      </c>
      <c r="AD24" s="4">
        <v>100000</v>
      </c>
      <c r="AE24" s="4">
        <v>100032</v>
      </c>
      <c r="AF24" s="4">
        <v>0</v>
      </c>
      <c r="AG24" s="4">
        <v>4169</v>
      </c>
      <c r="AH24" s="4">
        <v>201443</v>
      </c>
      <c r="AI24" s="4">
        <v>201472</v>
      </c>
      <c r="AK24" s="4">
        <v>15</v>
      </c>
      <c r="AL24" s="4">
        <v>2414</v>
      </c>
      <c r="AM24" s="4">
        <v>2804</v>
      </c>
      <c r="AN24" s="4">
        <v>560765</v>
      </c>
      <c r="AO24" s="4">
        <v>560768</v>
      </c>
      <c r="AP24" s="4">
        <v>100000</v>
      </c>
      <c r="AQ24" s="4">
        <v>100032</v>
      </c>
      <c r="AR24" s="4">
        <v>93</v>
      </c>
      <c r="AS24" s="4">
        <v>5908</v>
      </c>
      <c r="AT24" s="4">
        <v>203181</v>
      </c>
      <c r="AU24" s="4">
        <v>203200</v>
      </c>
      <c r="AW24" s="4">
        <v>15</v>
      </c>
      <c r="AX24" s="4">
        <v>2433</v>
      </c>
      <c r="AY24" s="4">
        <v>2781</v>
      </c>
      <c r="AZ24" s="4">
        <v>556141</v>
      </c>
      <c r="BA24" s="4">
        <v>556160</v>
      </c>
      <c r="BB24" s="4">
        <v>100000</v>
      </c>
      <c r="BC24" s="4">
        <v>100032</v>
      </c>
      <c r="BD24" s="4">
        <v>492</v>
      </c>
      <c r="BE24" s="4">
        <v>14936</v>
      </c>
      <c r="BF24" s="4">
        <v>212205</v>
      </c>
      <c r="BG24" s="4">
        <v>212224</v>
      </c>
      <c r="BI24" s="4">
        <v>15</v>
      </c>
      <c r="BJ24" s="4">
        <v>2407</v>
      </c>
      <c r="BK24" s="4">
        <v>2812</v>
      </c>
      <c r="BL24" s="4">
        <v>562391</v>
      </c>
      <c r="BM24" s="4">
        <v>562368</v>
      </c>
      <c r="BN24" s="4">
        <v>100000</v>
      </c>
      <c r="BO24" s="4">
        <v>100032</v>
      </c>
      <c r="BP24" s="4">
        <v>0</v>
      </c>
      <c r="BQ24" s="4">
        <v>3365</v>
      </c>
      <c r="BR24" s="4">
        <v>200639</v>
      </c>
      <c r="BS24" s="4">
        <v>200640</v>
      </c>
    </row>
    <row r="25" spans="1:71" x14ac:dyDescent="0.25">
      <c r="A25" s="4">
        <v>16</v>
      </c>
      <c r="B25" s="4">
        <v>2348</v>
      </c>
      <c r="C25" s="4">
        <v>2888</v>
      </c>
      <c r="D25" s="4">
        <v>577703</v>
      </c>
      <c r="E25" s="4">
        <v>577728</v>
      </c>
      <c r="F25" s="4">
        <v>100000</v>
      </c>
      <c r="G25" s="4">
        <v>100032</v>
      </c>
      <c r="H25" s="4">
        <v>0</v>
      </c>
      <c r="I25" s="4">
        <v>3693</v>
      </c>
      <c r="J25" s="4">
        <v>200967</v>
      </c>
      <c r="K25" s="4">
        <v>200960</v>
      </c>
      <c r="M25" s="4">
        <v>16</v>
      </c>
      <c r="N25" s="4">
        <v>2373</v>
      </c>
      <c r="O25" s="4">
        <v>2856</v>
      </c>
      <c r="P25" s="4">
        <v>571312</v>
      </c>
      <c r="Q25" s="4">
        <v>571328</v>
      </c>
      <c r="R25" s="4">
        <v>100000</v>
      </c>
      <c r="S25" s="4">
        <v>100032</v>
      </c>
      <c r="T25" s="4">
        <v>0</v>
      </c>
      <c r="U25" s="4">
        <v>3656</v>
      </c>
      <c r="V25" s="4">
        <v>200930</v>
      </c>
      <c r="W25" s="4">
        <v>200960</v>
      </c>
      <c r="Y25" s="4">
        <v>16</v>
      </c>
      <c r="Z25" s="4">
        <v>2391</v>
      </c>
      <c r="AA25" s="4">
        <v>2833</v>
      </c>
      <c r="AB25" s="4">
        <v>566531</v>
      </c>
      <c r="AC25" s="4">
        <v>566528</v>
      </c>
      <c r="AD25" s="4">
        <v>100000</v>
      </c>
      <c r="AE25" s="4">
        <v>100032</v>
      </c>
      <c r="AF25" s="4">
        <v>9</v>
      </c>
      <c r="AG25" s="4">
        <v>4329</v>
      </c>
      <c r="AH25" s="4">
        <v>201603</v>
      </c>
      <c r="AI25" s="4">
        <v>201600</v>
      </c>
      <c r="AK25" s="4">
        <v>16</v>
      </c>
      <c r="AL25" s="4">
        <v>2414</v>
      </c>
      <c r="AM25" s="4">
        <v>2804</v>
      </c>
      <c r="AN25" s="4">
        <v>560875</v>
      </c>
      <c r="AO25" s="4">
        <v>560896</v>
      </c>
      <c r="AP25" s="4">
        <v>100000</v>
      </c>
      <c r="AQ25" s="4">
        <v>100032</v>
      </c>
      <c r="AR25" s="4">
        <v>87</v>
      </c>
      <c r="AS25" s="4">
        <v>5777</v>
      </c>
      <c r="AT25" s="4">
        <v>203050</v>
      </c>
      <c r="AU25" s="4">
        <v>203072</v>
      </c>
      <c r="AW25" s="4">
        <v>16</v>
      </c>
      <c r="AX25" s="4">
        <v>2432</v>
      </c>
      <c r="AY25" s="4">
        <v>2782</v>
      </c>
      <c r="AZ25" s="4">
        <v>556469</v>
      </c>
      <c r="BA25" s="4">
        <v>556480</v>
      </c>
      <c r="BB25" s="4">
        <v>100000</v>
      </c>
      <c r="BC25" s="4">
        <v>100032</v>
      </c>
      <c r="BD25" s="4">
        <v>495</v>
      </c>
      <c r="BE25" s="4">
        <v>15009</v>
      </c>
      <c r="BF25" s="4">
        <v>212278</v>
      </c>
      <c r="BG25" s="4">
        <v>212288</v>
      </c>
      <c r="BI25" s="4">
        <v>16</v>
      </c>
      <c r="BJ25" s="4">
        <v>2408</v>
      </c>
      <c r="BK25" s="4">
        <v>2811</v>
      </c>
      <c r="BL25" s="4">
        <v>562156</v>
      </c>
      <c r="BM25" s="4">
        <v>562176</v>
      </c>
      <c r="BN25" s="4">
        <v>100000</v>
      </c>
      <c r="BO25" s="4">
        <v>100032</v>
      </c>
      <c r="BP25" s="4">
        <v>0</v>
      </c>
      <c r="BQ25" s="4">
        <v>3375</v>
      </c>
      <c r="BR25" s="4">
        <v>200649</v>
      </c>
      <c r="BS25" s="4">
        <v>200640</v>
      </c>
    </row>
    <row r="26" spans="1:71" x14ac:dyDescent="0.25">
      <c r="A26" s="4">
        <v>17</v>
      </c>
      <c r="B26" s="4">
        <v>2348</v>
      </c>
      <c r="C26" s="4">
        <v>2888</v>
      </c>
      <c r="D26" s="4">
        <v>577687</v>
      </c>
      <c r="E26" s="4">
        <v>577664</v>
      </c>
      <c r="F26" s="4">
        <v>100000</v>
      </c>
      <c r="G26" s="4">
        <v>100032</v>
      </c>
      <c r="H26" s="4">
        <v>0</v>
      </c>
      <c r="I26" s="4">
        <v>3639</v>
      </c>
      <c r="J26" s="4">
        <v>200913</v>
      </c>
      <c r="K26" s="4">
        <v>200896</v>
      </c>
      <c r="M26" s="4">
        <v>17</v>
      </c>
      <c r="N26" s="4">
        <v>2373</v>
      </c>
      <c r="O26" s="4">
        <v>2855</v>
      </c>
      <c r="P26" s="4">
        <v>571110</v>
      </c>
      <c r="Q26" s="4">
        <v>571136</v>
      </c>
      <c r="R26" s="4">
        <v>100000</v>
      </c>
      <c r="S26" s="4">
        <v>100032</v>
      </c>
      <c r="T26" s="4">
        <v>0</v>
      </c>
      <c r="U26" s="4">
        <v>3453</v>
      </c>
      <c r="V26" s="4">
        <v>200727</v>
      </c>
      <c r="W26" s="4">
        <v>200704</v>
      </c>
      <c r="Y26" s="4">
        <v>17</v>
      </c>
      <c r="Z26" s="4">
        <v>2391</v>
      </c>
      <c r="AA26" s="4">
        <v>2833</v>
      </c>
      <c r="AB26" s="4">
        <v>566641</v>
      </c>
      <c r="AC26" s="4">
        <v>566656</v>
      </c>
      <c r="AD26" s="4">
        <v>100000</v>
      </c>
      <c r="AE26" s="4">
        <v>100032</v>
      </c>
      <c r="AF26" s="4">
        <v>11</v>
      </c>
      <c r="AG26" s="4">
        <v>4360</v>
      </c>
      <c r="AH26" s="4">
        <v>201634</v>
      </c>
      <c r="AI26" s="4">
        <v>201664</v>
      </c>
      <c r="AK26" s="4">
        <v>17</v>
      </c>
      <c r="AL26" s="4">
        <v>2414</v>
      </c>
      <c r="AM26" s="4">
        <v>2804</v>
      </c>
      <c r="AN26" s="4">
        <v>560891</v>
      </c>
      <c r="AO26" s="4">
        <v>560896</v>
      </c>
      <c r="AP26" s="4">
        <v>100000</v>
      </c>
      <c r="AQ26" s="4">
        <v>100032</v>
      </c>
      <c r="AR26" s="4">
        <v>82</v>
      </c>
      <c r="AS26" s="4">
        <v>5688</v>
      </c>
      <c r="AT26" s="4">
        <v>202961</v>
      </c>
      <c r="AU26" s="4">
        <v>202944</v>
      </c>
      <c r="AW26" s="4">
        <v>17</v>
      </c>
      <c r="AX26" s="4">
        <v>2431</v>
      </c>
      <c r="AY26" s="4">
        <v>2783</v>
      </c>
      <c r="AZ26" s="4">
        <v>556516</v>
      </c>
      <c r="BA26" s="4">
        <v>556544</v>
      </c>
      <c r="BB26" s="4">
        <v>100000</v>
      </c>
      <c r="BC26" s="4">
        <v>100032</v>
      </c>
      <c r="BD26" s="4">
        <v>495</v>
      </c>
      <c r="BE26" s="4">
        <v>15003</v>
      </c>
      <c r="BF26" s="4">
        <v>212272</v>
      </c>
      <c r="BG26" s="4">
        <v>212288</v>
      </c>
      <c r="BI26" s="4">
        <v>17</v>
      </c>
      <c r="BJ26" s="4">
        <v>2409</v>
      </c>
      <c r="BK26" s="4">
        <v>2810</v>
      </c>
      <c r="BL26" s="4">
        <v>562015</v>
      </c>
      <c r="BM26" s="4">
        <v>561984</v>
      </c>
      <c r="BN26" s="4">
        <v>100000</v>
      </c>
      <c r="BO26" s="4">
        <v>100032</v>
      </c>
      <c r="BP26" s="4">
        <v>0</v>
      </c>
      <c r="BQ26" s="4">
        <v>3567</v>
      </c>
      <c r="BR26" s="4">
        <v>200841</v>
      </c>
      <c r="BS26" s="4">
        <v>200832</v>
      </c>
    </row>
    <row r="27" spans="1:71" x14ac:dyDescent="0.25">
      <c r="A27" s="4">
        <v>18</v>
      </c>
      <c r="B27" s="4">
        <v>2348</v>
      </c>
      <c r="C27" s="4">
        <v>2888</v>
      </c>
      <c r="D27" s="4">
        <v>577640</v>
      </c>
      <c r="E27" s="4">
        <v>577664</v>
      </c>
      <c r="F27" s="4">
        <v>100000</v>
      </c>
      <c r="G27" s="4">
        <v>100032</v>
      </c>
      <c r="H27" s="4">
        <v>0</v>
      </c>
      <c r="I27" s="4">
        <v>3633</v>
      </c>
      <c r="J27" s="4">
        <v>200907</v>
      </c>
      <c r="K27" s="4">
        <v>200896</v>
      </c>
      <c r="M27" s="4">
        <v>18</v>
      </c>
      <c r="N27" s="4">
        <v>2374</v>
      </c>
      <c r="O27" s="4">
        <v>2854</v>
      </c>
      <c r="P27" s="4">
        <v>570906</v>
      </c>
      <c r="Q27" s="4">
        <v>570880</v>
      </c>
      <c r="R27" s="4">
        <v>100000</v>
      </c>
      <c r="S27" s="4">
        <v>100032</v>
      </c>
      <c r="T27" s="4">
        <v>0</v>
      </c>
      <c r="U27" s="4">
        <v>3477</v>
      </c>
      <c r="V27" s="4">
        <v>200751</v>
      </c>
      <c r="W27" s="4">
        <v>200768</v>
      </c>
      <c r="Y27" s="4">
        <v>18</v>
      </c>
      <c r="Z27" s="4">
        <v>2391</v>
      </c>
      <c r="AA27" s="4">
        <v>2832</v>
      </c>
      <c r="AB27" s="4">
        <v>566531</v>
      </c>
      <c r="AC27" s="4">
        <v>566528</v>
      </c>
      <c r="AD27" s="4">
        <v>100000</v>
      </c>
      <c r="AE27" s="4">
        <v>100032</v>
      </c>
      <c r="AF27" s="4">
        <v>6</v>
      </c>
      <c r="AG27" s="4">
        <v>4290</v>
      </c>
      <c r="AH27" s="4">
        <v>201564</v>
      </c>
      <c r="AI27" s="4">
        <v>201536</v>
      </c>
      <c r="AK27" s="4">
        <v>18</v>
      </c>
      <c r="AL27" s="4">
        <v>2416</v>
      </c>
      <c r="AM27" s="4">
        <v>2802</v>
      </c>
      <c r="AN27" s="4">
        <v>560516</v>
      </c>
      <c r="AO27" s="4">
        <v>560512</v>
      </c>
      <c r="AP27" s="4">
        <v>100000</v>
      </c>
      <c r="AQ27" s="4">
        <v>100032</v>
      </c>
      <c r="AR27" s="4">
        <v>80</v>
      </c>
      <c r="AS27" s="4">
        <v>5650</v>
      </c>
      <c r="AT27" s="4">
        <v>202923</v>
      </c>
      <c r="AU27" s="4">
        <v>202944</v>
      </c>
      <c r="AW27" s="4">
        <v>18</v>
      </c>
      <c r="AX27" s="4">
        <v>2433</v>
      </c>
      <c r="AY27" s="4">
        <v>2781</v>
      </c>
      <c r="AZ27" s="4">
        <v>556391</v>
      </c>
      <c r="BA27" s="4">
        <v>556416</v>
      </c>
      <c r="BB27" s="4">
        <v>100000</v>
      </c>
      <c r="BC27" s="4">
        <v>100032</v>
      </c>
      <c r="BD27" s="4">
        <v>483</v>
      </c>
      <c r="BE27" s="4">
        <v>14713</v>
      </c>
      <c r="BF27" s="4">
        <v>211982</v>
      </c>
      <c r="BG27" s="4">
        <v>211968</v>
      </c>
      <c r="BI27" s="4">
        <v>18</v>
      </c>
      <c r="BJ27" s="4">
        <v>2410</v>
      </c>
      <c r="BK27" s="4">
        <v>2809</v>
      </c>
      <c r="BL27" s="4">
        <v>561922</v>
      </c>
      <c r="BM27" s="4">
        <v>561920</v>
      </c>
      <c r="BN27" s="4">
        <v>100000</v>
      </c>
      <c r="BO27" s="4">
        <v>100032</v>
      </c>
      <c r="BP27" s="4">
        <v>0</v>
      </c>
      <c r="BQ27" s="4">
        <v>3536</v>
      </c>
      <c r="BR27" s="4">
        <v>200810</v>
      </c>
      <c r="BS27" s="4">
        <v>200832</v>
      </c>
    </row>
    <row r="28" spans="1:71" x14ac:dyDescent="0.25">
      <c r="A28" s="4">
        <v>19</v>
      </c>
      <c r="B28" s="4">
        <v>2348</v>
      </c>
      <c r="C28" s="4">
        <v>2888</v>
      </c>
      <c r="D28" s="4">
        <v>577594</v>
      </c>
      <c r="E28" s="4">
        <v>577600</v>
      </c>
      <c r="F28" s="4">
        <v>100000</v>
      </c>
      <c r="G28" s="4">
        <v>100032</v>
      </c>
      <c r="H28" s="4">
        <v>0</v>
      </c>
      <c r="I28" s="4">
        <v>3608</v>
      </c>
      <c r="J28" s="4">
        <v>200882</v>
      </c>
      <c r="K28" s="4">
        <v>200896</v>
      </c>
      <c r="M28" s="4">
        <v>19</v>
      </c>
      <c r="N28" s="4">
        <v>2375</v>
      </c>
      <c r="O28" s="4">
        <v>2853</v>
      </c>
      <c r="P28" s="4">
        <v>570687</v>
      </c>
      <c r="Q28" s="4">
        <v>570688</v>
      </c>
      <c r="R28" s="4">
        <v>100000</v>
      </c>
      <c r="S28" s="4">
        <v>100032</v>
      </c>
      <c r="T28" s="4">
        <v>0</v>
      </c>
      <c r="U28" s="4">
        <v>3498</v>
      </c>
      <c r="V28" s="4">
        <v>200772</v>
      </c>
      <c r="W28" s="4">
        <v>200768</v>
      </c>
      <c r="Y28" s="4">
        <v>19</v>
      </c>
      <c r="Z28" s="4">
        <v>2392</v>
      </c>
      <c r="AA28" s="4">
        <v>2831</v>
      </c>
      <c r="AB28" s="4">
        <v>566328</v>
      </c>
      <c r="AC28" s="4">
        <v>566336</v>
      </c>
      <c r="AD28" s="4">
        <v>100000</v>
      </c>
      <c r="AE28" s="4">
        <v>100032</v>
      </c>
      <c r="AF28" s="4">
        <v>2</v>
      </c>
      <c r="AG28" s="4">
        <v>4231</v>
      </c>
      <c r="AH28" s="4">
        <v>201505</v>
      </c>
      <c r="AI28" s="4">
        <v>201536</v>
      </c>
      <c r="AK28" s="4">
        <v>19</v>
      </c>
      <c r="AL28" s="4">
        <v>2417</v>
      </c>
      <c r="AM28" s="4">
        <v>2801</v>
      </c>
      <c r="AN28" s="4">
        <v>560328</v>
      </c>
      <c r="AO28" s="4">
        <v>560320</v>
      </c>
      <c r="AP28" s="4">
        <v>100000</v>
      </c>
      <c r="AQ28" s="4">
        <v>100032</v>
      </c>
      <c r="AR28" s="4">
        <v>88</v>
      </c>
      <c r="AS28" s="4">
        <v>5807</v>
      </c>
      <c r="AT28" s="4">
        <v>203080</v>
      </c>
      <c r="AU28" s="4">
        <v>203072</v>
      </c>
      <c r="AW28" s="4">
        <v>19</v>
      </c>
      <c r="AX28" s="4">
        <v>2434</v>
      </c>
      <c r="AY28" s="4">
        <v>2780</v>
      </c>
      <c r="AZ28" s="4">
        <v>556188</v>
      </c>
      <c r="BA28" s="4">
        <v>556160</v>
      </c>
      <c r="BB28" s="4">
        <v>100000</v>
      </c>
      <c r="BC28" s="4">
        <v>100032</v>
      </c>
      <c r="BD28" s="4">
        <v>512</v>
      </c>
      <c r="BE28" s="4">
        <v>15402</v>
      </c>
      <c r="BF28" s="4">
        <v>212671</v>
      </c>
      <c r="BG28" s="4">
        <v>212672</v>
      </c>
      <c r="BI28" s="4">
        <v>19</v>
      </c>
      <c r="BJ28" s="4">
        <v>2410</v>
      </c>
      <c r="BK28" s="4">
        <v>2809</v>
      </c>
      <c r="BL28" s="4">
        <v>561813</v>
      </c>
      <c r="BM28" s="4">
        <v>561792</v>
      </c>
      <c r="BN28" s="4">
        <v>100000</v>
      </c>
      <c r="BO28" s="4">
        <v>100032</v>
      </c>
      <c r="BP28" s="4">
        <v>0</v>
      </c>
      <c r="BQ28" s="4">
        <v>3449</v>
      </c>
      <c r="BR28" s="4">
        <v>200723</v>
      </c>
      <c r="BS28" s="4">
        <v>200704</v>
      </c>
    </row>
    <row r="29" spans="1:71" x14ac:dyDescent="0.25">
      <c r="A29" s="4">
        <v>20</v>
      </c>
      <c r="B29" s="4">
        <v>2348</v>
      </c>
      <c r="C29" s="4">
        <v>2887</v>
      </c>
      <c r="D29" s="4">
        <v>577500</v>
      </c>
      <c r="E29" s="4">
        <v>577472</v>
      </c>
      <c r="F29" s="4">
        <v>100000</v>
      </c>
      <c r="G29" s="4">
        <v>100032</v>
      </c>
      <c r="H29" s="4">
        <v>0</v>
      </c>
      <c r="I29" s="4">
        <v>3634</v>
      </c>
      <c r="J29" s="4">
        <v>200908</v>
      </c>
      <c r="K29" s="4">
        <v>200896</v>
      </c>
      <c r="M29" s="4">
        <v>20</v>
      </c>
      <c r="N29" s="4">
        <v>2375</v>
      </c>
      <c r="O29" s="4">
        <v>2853</v>
      </c>
      <c r="P29" s="4">
        <v>570687</v>
      </c>
      <c r="Q29" s="4">
        <v>570688</v>
      </c>
      <c r="R29" s="4">
        <v>100000</v>
      </c>
      <c r="S29" s="4">
        <v>100032</v>
      </c>
      <c r="T29" s="4">
        <v>0</v>
      </c>
      <c r="U29" s="4">
        <v>3718</v>
      </c>
      <c r="V29" s="4">
        <v>200992</v>
      </c>
      <c r="W29" s="4">
        <v>201024</v>
      </c>
      <c r="Y29" s="4">
        <v>20</v>
      </c>
      <c r="Z29" s="4">
        <v>2393</v>
      </c>
      <c r="AA29" s="4">
        <v>2830</v>
      </c>
      <c r="AB29" s="4">
        <v>566078</v>
      </c>
      <c r="AC29" s="4">
        <v>566080</v>
      </c>
      <c r="AD29" s="4">
        <v>100000</v>
      </c>
      <c r="AE29" s="4">
        <v>100032</v>
      </c>
      <c r="AF29" s="4">
        <v>0</v>
      </c>
      <c r="AG29" s="4">
        <v>4066</v>
      </c>
      <c r="AH29" s="4">
        <v>201340</v>
      </c>
      <c r="AI29" s="4">
        <v>201344</v>
      </c>
      <c r="AK29" s="4">
        <v>20</v>
      </c>
      <c r="AL29" s="4">
        <v>2416</v>
      </c>
      <c r="AM29" s="4">
        <v>2802</v>
      </c>
      <c r="AN29" s="4">
        <v>560391</v>
      </c>
      <c r="AO29" s="4">
        <v>560384</v>
      </c>
      <c r="AP29" s="4">
        <v>100000</v>
      </c>
      <c r="AQ29" s="4">
        <v>100032</v>
      </c>
      <c r="AR29" s="4">
        <v>83</v>
      </c>
      <c r="AS29" s="4">
        <v>5709</v>
      </c>
      <c r="AT29" s="4">
        <v>202982</v>
      </c>
      <c r="AU29" s="4">
        <v>203008</v>
      </c>
      <c r="AW29" s="4">
        <v>20</v>
      </c>
      <c r="AX29" s="4">
        <v>2435</v>
      </c>
      <c r="AY29" s="4">
        <v>2779</v>
      </c>
      <c r="AZ29" s="4">
        <v>555875</v>
      </c>
      <c r="BA29" s="4">
        <v>555904</v>
      </c>
      <c r="BB29" s="4">
        <v>100000</v>
      </c>
      <c r="BC29" s="4">
        <v>100032</v>
      </c>
      <c r="BD29" s="4">
        <v>493</v>
      </c>
      <c r="BE29" s="4">
        <v>14959</v>
      </c>
      <c r="BF29" s="4">
        <v>212228</v>
      </c>
      <c r="BG29" s="4">
        <v>212224</v>
      </c>
      <c r="BI29" s="4">
        <v>20</v>
      </c>
      <c r="BJ29" s="4">
        <v>2410</v>
      </c>
      <c r="BK29" s="4">
        <v>2809</v>
      </c>
      <c r="BL29" s="4">
        <v>561797</v>
      </c>
      <c r="BM29" s="4">
        <v>561792</v>
      </c>
      <c r="BN29" s="4">
        <v>100000</v>
      </c>
      <c r="BO29" s="4">
        <v>100032</v>
      </c>
      <c r="BP29" s="4">
        <v>0</v>
      </c>
      <c r="BQ29" s="4">
        <v>3349</v>
      </c>
      <c r="BR29" s="4">
        <v>200623</v>
      </c>
      <c r="BS29" s="4">
        <v>200640</v>
      </c>
    </row>
    <row r="30" spans="1:71" x14ac:dyDescent="0.25">
      <c r="A30" s="4">
        <v>21</v>
      </c>
      <c r="B30" s="4">
        <v>2349</v>
      </c>
      <c r="C30" s="4">
        <v>2886</v>
      </c>
      <c r="D30" s="4">
        <v>577360</v>
      </c>
      <c r="E30" s="4">
        <v>577344</v>
      </c>
      <c r="F30" s="4">
        <v>100000</v>
      </c>
      <c r="G30" s="4">
        <v>100032</v>
      </c>
      <c r="H30" s="4">
        <v>0</v>
      </c>
      <c r="I30" s="4">
        <v>3593</v>
      </c>
      <c r="J30" s="4">
        <v>200867</v>
      </c>
      <c r="K30" s="4">
        <v>200896</v>
      </c>
      <c r="M30" s="4">
        <v>21</v>
      </c>
      <c r="N30" s="4">
        <v>2374</v>
      </c>
      <c r="O30" s="4">
        <v>2854</v>
      </c>
      <c r="P30" s="4">
        <v>570828</v>
      </c>
      <c r="Q30" s="4">
        <v>570816</v>
      </c>
      <c r="R30" s="4">
        <v>100000</v>
      </c>
      <c r="S30" s="4">
        <v>100032</v>
      </c>
      <c r="T30" s="4">
        <v>0</v>
      </c>
      <c r="U30" s="4">
        <v>3639</v>
      </c>
      <c r="V30" s="4">
        <v>200913</v>
      </c>
      <c r="W30" s="4">
        <v>200896</v>
      </c>
      <c r="Y30" s="4">
        <v>21</v>
      </c>
      <c r="Z30" s="4">
        <v>2395</v>
      </c>
      <c r="AA30" s="4">
        <v>2827</v>
      </c>
      <c r="AB30" s="4">
        <v>565578</v>
      </c>
      <c r="AC30" s="4">
        <v>565568</v>
      </c>
      <c r="AD30" s="4">
        <v>100000</v>
      </c>
      <c r="AE30" s="4">
        <v>100032</v>
      </c>
      <c r="AF30" s="4">
        <v>0</v>
      </c>
      <c r="AG30" s="4">
        <v>4052</v>
      </c>
      <c r="AH30" s="4">
        <v>201326</v>
      </c>
      <c r="AI30" s="4">
        <v>201344</v>
      </c>
      <c r="AK30" s="4">
        <v>21</v>
      </c>
      <c r="AL30" s="4">
        <v>2415</v>
      </c>
      <c r="AM30" s="4">
        <v>2803</v>
      </c>
      <c r="AN30" s="4">
        <v>560563</v>
      </c>
      <c r="AO30" s="4">
        <v>560576</v>
      </c>
      <c r="AP30" s="4">
        <v>100000</v>
      </c>
      <c r="AQ30" s="4">
        <v>100032</v>
      </c>
      <c r="AR30" s="4">
        <v>82</v>
      </c>
      <c r="AS30" s="4">
        <v>5675</v>
      </c>
      <c r="AT30" s="4">
        <v>202948</v>
      </c>
      <c r="AU30" s="4">
        <v>202944</v>
      </c>
      <c r="AW30" s="4">
        <v>21</v>
      </c>
      <c r="AX30" s="4">
        <v>2436</v>
      </c>
      <c r="AY30" s="4">
        <v>2778</v>
      </c>
      <c r="AZ30" s="4">
        <v>555734</v>
      </c>
      <c r="BA30" s="4">
        <v>555712</v>
      </c>
      <c r="BB30" s="4">
        <v>100000</v>
      </c>
      <c r="BC30" s="4">
        <v>100032</v>
      </c>
      <c r="BD30" s="4">
        <v>490</v>
      </c>
      <c r="BE30" s="4">
        <v>14893</v>
      </c>
      <c r="BF30" s="4">
        <v>212162</v>
      </c>
      <c r="BG30" s="4">
        <v>212160</v>
      </c>
      <c r="BI30" s="4">
        <v>21</v>
      </c>
      <c r="BJ30" s="4">
        <v>2409</v>
      </c>
      <c r="BK30" s="4">
        <v>2810</v>
      </c>
      <c r="BL30" s="4">
        <v>561859</v>
      </c>
      <c r="BM30" s="4">
        <v>561856</v>
      </c>
      <c r="BN30" s="4">
        <v>100000</v>
      </c>
      <c r="BO30" s="4">
        <v>100032</v>
      </c>
      <c r="BP30" s="4">
        <v>0</v>
      </c>
      <c r="BQ30" s="4">
        <v>3445</v>
      </c>
      <c r="BR30" s="4">
        <v>200719</v>
      </c>
      <c r="BS30" s="4">
        <v>200704</v>
      </c>
    </row>
    <row r="31" spans="1:71" x14ac:dyDescent="0.25">
      <c r="A31" s="4">
        <v>22</v>
      </c>
      <c r="B31" s="4">
        <v>2349</v>
      </c>
      <c r="C31" s="4">
        <v>2886</v>
      </c>
      <c r="D31" s="4">
        <v>577235</v>
      </c>
      <c r="E31" s="4">
        <v>577216</v>
      </c>
      <c r="F31" s="4">
        <v>100000</v>
      </c>
      <c r="G31" s="4">
        <v>100032</v>
      </c>
      <c r="H31" s="4">
        <v>0</v>
      </c>
      <c r="I31" s="4">
        <v>3495</v>
      </c>
      <c r="J31" s="4">
        <v>200769</v>
      </c>
      <c r="K31" s="4">
        <v>200768</v>
      </c>
      <c r="M31" s="4">
        <v>22</v>
      </c>
      <c r="N31" s="4">
        <v>2373</v>
      </c>
      <c r="O31" s="4">
        <v>2855</v>
      </c>
      <c r="P31" s="4">
        <v>570938</v>
      </c>
      <c r="Q31" s="4">
        <v>570944</v>
      </c>
      <c r="R31" s="4">
        <v>100000</v>
      </c>
      <c r="S31" s="4">
        <v>100032</v>
      </c>
      <c r="T31" s="4">
        <v>0</v>
      </c>
      <c r="U31" s="4">
        <v>3313</v>
      </c>
      <c r="V31" s="4">
        <v>200587</v>
      </c>
      <c r="W31" s="4">
        <v>200576</v>
      </c>
      <c r="Y31" s="4">
        <v>22</v>
      </c>
      <c r="Z31" s="4">
        <v>2397</v>
      </c>
      <c r="AA31" s="4">
        <v>2825</v>
      </c>
      <c r="AB31" s="4">
        <v>565094</v>
      </c>
      <c r="AC31" s="4">
        <v>565120</v>
      </c>
      <c r="AD31" s="4">
        <v>100000</v>
      </c>
      <c r="AE31" s="4">
        <v>100032</v>
      </c>
      <c r="AF31" s="4">
        <v>5</v>
      </c>
      <c r="AG31" s="4">
        <v>4266</v>
      </c>
      <c r="AH31" s="4">
        <v>201540</v>
      </c>
      <c r="AI31" s="4">
        <v>201536</v>
      </c>
      <c r="AK31" s="4">
        <v>22</v>
      </c>
      <c r="AL31" s="4">
        <v>2414</v>
      </c>
      <c r="AM31" s="4">
        <v>2804</v>
      </c>
      <c r="AN31" s="4">
        <v>560703</v>
      </c>
      <c r="AO31" s="4">
        <v>560704</v>
      </c>
      <c r="AP31" s="4">
        <v>100000</v>
      </c>
      <c r="AQ31" s="4">
        <v>100032</v>
      </c>
      <c r="AR31" s="4">
        <v>83</v>
      </c>
      <c r="AS31" s="4">
        <v>5700</v>
      </c>
      <c r="AT31" s="4">
        <v>202973</v>
      </c>
      <c r="AU31" s="4">
        <v>202944</v>
      </c>
      <c r="AW31" s="4">
        <v>22</v>
      </c>
      <c r="AX31" s="4">
        <v>2435</v>
      </c>
      <c r="AY31" s="4">
        <v>2779</v>
      </c>
      <c r="AZ31" s="4">
        <v>555750</v>
      </c>
      <c r="BA31" s="4">
        <v>555776</v>
      </c>
      <c r="BB31" s="4">
        <v>100000</v>
      </c>
      <c r="BC31" s="4">
        <v>100032</v>
      </c>
      <c r="BD31" s="4">
        <v>485</v>
      </c>
      <c r="BE31" s="4">
        <v>14763</v>
      </c>
      <c r="BF31" s="4">
        <v>212174</v>
      </c>
      <c r="BG31" s="4">
        <v>212160</v>
      </c>
      <c r="BI31" s="4">
        <v>22</v>
      </c>
      <c r="BJ31" s="4">
        <v>2408</v>
      </c>
      <c r="BK31" s="4">
        <v>2811</v>
      </c>
      <c r="BL31" s="4">
        <v>562063</v>
      </c>
      <c r="BM31" s="4">
        <v>562048</v>
      </c>
      <c r="BN31" s="4">
        <v>100000</v>
      </c>
      <c r="BO31" s="4">
        <v>100032</v>
      </c>
      <c r="BP31" s="4">
        <v>0</v>
      </c>
      <c r="BQ31" s="4">
        <v>3481</v>
      </c>
      <c r="BR31" s="4">
        <v>200755</v>
      </c>
      <c r="BS31" s="4">
        <v>200768</v>
      </c>
    </row>
    <row r="32" spans="1:71" x14ac:dyDescent="0.25">
      <c r="A32" s="4">
        <v>23</v>
      </c>
      <c r="B32" s="4">
        <v>2350</v>
      </c>
      <c r="C32" s="4">
        <v>2885</v>
      </c>
      <c r="D32" s="4">
        <v>577047</v>
      </c>
      <c r="E32" s="4">
        <v>577024</v>
      </c>
      <c r="F32" s="4">
        <v>100000</v>
      </c>
      <c r="G32" s="4">
        <v>100032</v>
      </c>
      <c r="H32" s="4">
        <v>0</v>
      </c>
      <c r="I32" s="4">
        <v>3547</v>
      </c>
      <c r="J32" s="4">
        <v>200821</v>
      </c>
      <c r="K32" s="4">
        <v>200832</v>
      </c>
      <c r="M32" s="4">
        <v>23</v>
      </c>
      <c r="N32" s="4">
        <v>2373</v>
      </c>
      <c r="O32" s="4">
        <v>2855</v>
      </c>
      <c r="P32" s="4">
        <v>570985</v>
      </c>
      <c r="Q32" s="4">
        <v>571008</v>
      </c>
      <c r="R32" s="4">
        <v>100000</v>
      </c>
      <c r="S32" s="4">
        <v>100032</v>
      </c>
      <c r="T32" s="4">
        <v>0</v>
      </c>
      <c r="U32" s="4">
        <v>2869</v>
      </c>
      <c r="V32" s="4">
        <v>200144</v>
      </c>
      <c r="W32" s="4">
        <v>200128</v>
      </c>
      <c r="Y32" s="4">
        <v>23</v>
      </c>
      <c r="Z32" s="4">
        <v>2396</v>
      </c>
      <c r="AA32" s="4">
        <v>2826</v>
      </c>
      <c r="AB32" s="4">
        <v>565203</v>
      </c>
      <c r="AC32" s="4">
        <v>565184</v>
      </c>
      <c r="AD32" s="4">
        <v>100000</v>
      </c>
      <c r="AE32" s="4">
        <v>100032</v>
      </c>
      <c r="AF32" s="4">
        <v>5</v>
      </c>
      <c r="AG32" s="4">
        <v>4272</v>
      </c>
      <c r="AH32" s="4">
        <v>201546</v>
      </c>
      <c r="AI32" s="4">
        <v>201536</v>
      </c>
      <c r="AK32" s="4">
        <v>23</v>
      </c>
      <c r="AL32" s="4">
        <v>2414</v>
      </c>
      <c r="AM32" s="4">
        <v>2804</v>
      </c>
      <c r="AN32" s="4">
        <v>560859</v>
      </c>
      <c r="AO32" s="4">
        <v>560832</v>
      </c>
      <c r="AP32" s="4">
        <v>100000</v>
      </c>
      <c r="AQ32" s="4">
        <v>100032</v>
      </c>
      <c r="AR32" s="4">
        <v>79</v>
      </c>
      <c r="AS32" s="4">
        <v>5627</v>
      </c>
      <c r="AT32" s="4">
        <v>202900</v>
      </c>
      <c r="AU32" s="4">
        <v>202880</v>
      </c>
      <c r="AW32" s="4">
        <v>23</v>
      </c>
      <c r="AX32" s="4">
        <v>2436</v>
      </c>
      <c r="AY32" s="4">
        <v>2778</v>
      </c>
      <c r="AZ32" s="4">
        <v>555734</v>
      </c>
      <c r="BA32" s="4">
        <v>555712</v>
      </c>
      <c r="BB32" s="4">
        <v>100000</v>
      </c>
      <c r="BC32" s="4">
        <v>100032</v>
      </c>
      <c r="BD32" s="4">
        <v>479</v>
      </c>
      <c r="BE32" s="4">
        <v>14630</v>
      </c>
      <c r="BF32" s="4">
        <v>211899</v>
      </c>
      <c r="BG32" s="4">
        <v>211904</v>
      </c>
      <c r="BI32" s="4">
        <v>23</v>
      </c>
      <c r="BJ32" s="4">
        <v>2408</v>
      </c>
      <c r="BK32" s="4">
        <v>2811</v>
      </c>
      <c r="BL32" s="4">
        <v>562313</v>
      </c>
      <c r="BM32" s="4">
        <v>562304</v>
      </c>
      <c r="BN32" s="4">
        <v>100000</v>
      </c>
      <c r="BO32" s="4">
        <v>100032</v>
      </c>
      <c r="BP32" s="4">
        <v>0</v>
      </c>
      <c r="BQ32" s="4">
        <v>3394</v>
      </c>
      <c r="BR32" s="4">
        <v>200668</v>
      </c>
      <c r="BS32" s="4">
        <v>200640</v>
      </c>
    </row>
    <row r="33" spans="1:71" x14ac:dyDescent="0.25">
      <c r="A33" s="4">
        <v>24</v>
      </c>
      <c r="B33" s="4">
        <v>2350</v>
      </c>
      <c r="C33" s="4">
        <v>2885</v>
      </c>
      <c r="D33" s="4">
        <v>577016</v>
      </c>
      <c r="E33" s="4">
        <v>577024</v>
      </c>
      <c r="F33" s="4">
        <v>100000</v>
      </c>
      <c r="G33" s="4">
        <v>100032</v>
      </c>
      <c r="H33" s="4">
        <v>0</v>
      </c>
      <c r="I33" s="4">
        <v>3557</v>
      </c>
      <c r="J33" s="4">
        <v>200831</v>
      </c>
      <c r="K33" s="4">
        <v>200832</v>
      </c>
      <c r="M33" s="4">
        <v>24</v>
      </c>
      <c r="N33" s="4">
        <v>2373</v>
      </c>
      <c r="O33" s="4">
        <v>2855</v>
      </c>
      <c r="P33" s="4">
        <v>571094</v>
      </c>
      <c r="Q33" s="4">
        <v>571072</v>
      </c>
      <c r="R33" s="4">
        <v>100000</v>
      </c>
      <c r="S33" s="4">
        <v>100032</v>
      </c>
      <c r="T33" s="4">
        <v>0</v>
      </c>
      <c r="U33" s="4">
        <v>3060</v>
      </c>
      <c r="V33" s="4">
        <v>200334</v>
      </c>
      <c r="W33" s="4">
        <v>200320</v>
      </c>
      <c r="Y33" s="4">
        <v>24</v>
      </c>
      <c r="Z33" s="4">
        <v>2395</v>
      </c>
      <c r="AA33" s="4">
        <v>2827</v>
      </c>
      <c r="AB33" s="4">
        <v>565453</v>
      </c>
      <c r="AC33" s="4">
        <v>565440</v>
      </c>
      <c r="AD33" s="4">
        <v>100000</v>
      </c>
      <c r="AE33" s="4">
        <v>100032</v>
      </c>
      <c r="AF33" s="4">
        <v>7</v>
      </c>
      <c r="AG33" s="4">
        <v>4307</v>
      </c>
      <c r="AH33" s="4">
        <v>201581</v>
      </c>
      <c r="AI33" s="4">
        <v>201600</v>
      </c>
      <c r="AK33" s="4">
        <v>24</v>
      </c>
      <c r="AL33" s="4">
        <v>2414</v>
      </c>
      <c r="AM33" s="4">
        <v>2804</v>
      </c>
      <c r="AN33" s="4">
        <v>560797</v>
      </c>
      <c r="AO33" s="4">
        <v>560768</v>
      </c>
      <c r="AP33" s="4">
        <v>100000</v>
      </c>
      <c r="AQ33" s="4">
        <v>100032</v>
      </c>
      <c r="AR33" s="4">
        <v>77</v>
      </c>
      <c r="AS33" s="4">
        <v>5576</v>
      </c>
      <c r="AT33" s="4">
        <v>202849</v>
      </c>
      <c r="AU33" s="4">
        <v>202880</v>
      </c>
      <c r="AW33" s="4">
        <v>24</v>
      </c>
      <c r="AX33" s="4">
        <v>2437</v>
      </c>
      <c r="AY33" s="4">
        <v>2776</v>
      </c>
      <c r="AZ33" s="4">
        <v>555484</v>
      </c>
      <c r="BA33" s="4">
        <v>555456</v>
      </c>
      <c r="BB33" s="4">
        <v>100000</v>
      </c>
      <c r="BC33" s="4">
        <v>100032</v>
      </c>
      <c r="BD33" s="4">
        <v>489</v>
      </c>
      <c r="BE33" s="4">
        <v>14864</v>
      </c>
      <c r="BF33" s="4">
        <v>212133</v>
      </c>
      <c r="BG33" s="4">
        <v>212160</v>
      </c>
      <c r="BI33" s="4">
        <v>24</v>
      </c>
      <c r="BJ33" s="4">
        <v>2409</v>
      </c>
      <c r="BK33" s="4">
        <v>2810</v>
      </c>
      <c r="BL33" s="4">
        <v>562078</v>
      </c>
      <c r="BM33" s="4">
        <v>562048</v>
      </c>
      <c r="BN33" s="4">
        <v>100000</v>
      </c>
      <c r="BO33" s="4">
        <v>100032</v>
      </c>
      <c r="BP33" s="4">
        <v>0</v>
      </c>
      <c r="BQ33" s="4">
        <v>3226</v>
      </c>
      <c r="BR33" s="4">
        <v>200500</v>
      </c>
      <c r="BS33" s="4">
        <v>200512</v>
      </c>
    </row>
    <row r="34" spans="1:71" x14ac:dyDescent="0.25">
      <c r="A34" s="4">
        <v>25</v>
      </c>
      <c r="B34" s="4">
        <v>2349</v>
      </c>
      <c r="C34" s="4">
        <v>2886</v>
      </c>
      <c r="D34" s="4">
        <v>577188</v>
      </c>
      <c r="E34" s="4">
        <v>577216</v>
      </c>
      <c r="F34" s="4">
        <v>100000</v>
      </c>
      <c r="G34" s="4">
        <v>100032</v>
      </c>
      <c r="H34" s="4">
        <v>0</v>
      </c>
      <c r="I34" s="4">
        <v>3788</v>
      </c>
      <c r="J34" s="4">
        <v>201062</v>
      </c>
      <c r="K34" s="4">
        <v>201088</v>
      </c>
      <c r="M34" s="4">
        <v>25</v>
      </c>
      <c r="N34" s="4">
        <v>2373</v>
      </c>
      <c r="O34" s="4">
        <v>2855</v>
      </c>
      <c r="P34" s="4">
        <v>571141</v>
      </c>
      <c r="Q34" s="4">
        <v>571136</v>
      </c>
      <c r="R34" s="4">
        <v>100000</v>
      </c>
      <c r="S34" s="4">
        <v>100032</v>
      </c>
      <c r="T34" s="4">
        <v>0</v>
      </c>
      <c r="U34" s="4">
        <v>3206</v>
      </c>
      <c r="V34" s="4">
        <v>200480</v>
      </c>
      <c r="W34" s="4">
        <v>200512</v>
      </c>
      <c r="Y34" s="4">
        <v>25</v>
      </c>
      <c r="Z34" s="4">
        <v>2395</v>
      </c>
      <c r="AA34" s="4">
        <v>2828</v>
      </c>
      <c r="AB34" s="4">
        <v>565656</v>
      </c>
      <c r="AC34" s="4">
        <v>565632</v>
      </c>
      <c r="AD34" s="4">
        <v>100000</v>
      </c>
      <c r="AE34" s="4">
        <v>100032</v>
      </c>
      <c r="AF34" s="4">
        <v>0</v>
      </c>
      <c r="AG34" s="4">
        <v>4165</v>
      </c>
      <c r="AH34" s="4">
        <v>201439</v>
      </c>
      <c r="AI34" s="4">
        <v>201408</v>
      </c>
      <c r="AK34" s="4">
        <v>25</v>
      </c>
      <c r="AL34" s="4">
        <v>2415</v>
      </c>
      <c r="AM34" s="4">
        <v>2803</v>
      </c>
      <c r="AN34" s="4">
        <v>560547</v>
      </c>
      <c r="AO34" s="4">
        <v>560576</v>
      </c>
      <c r="AP34" s="4">
        <v>100000</v>
      </c>
      <c r="AQ34" s="4">
        <v>100032</v>
      </c>
      <c r="AR34" s="4">
        <v>80</v>
      </c>
      <c r="AS34" s="4">
        <v>5651</v>
      </c>
      <c r="AT34" s="4">
        <v>202924</v>
      </c>
      <c r="AU34" s="4">
        <v>202944</v>
      </c>
      <c r="AW34" s="4">
        <v>25</v>
      </c>
      <c r="AX34" s="4">
        <v>2438</v>
      </c>
      <c r="AY34" s="4">
        <v>2775</v>
      </c>
      <c r="AZ34" s="4">
        <v>555078</v>
      </c>
      <c r="BA34" s="4">
        <v>555072</v>
      </c>
      <c r="BB34" s="4">
        <v>100000</v>
      </c>
      <c r="BC34" s="4">
        <v>100032</v>
      </c>
      <c r="BD34" s="4">
        <v>486</v>
      </c>
      <c r="BE34" s="4">
        <v>14799</v>
      </c>
      <c r="BF34" s="4">
        <v>212068</v>
      </c>
      <c r="BG34" s="4">
        <v>212096</v>
      </c>
      <c r="BI34" s="4">
        <v>25</v>
      </c>
      <c r="BJ34" s="4">
        <v>2412</v>
      </c>
      <c r="BK34" s="4">
        <v>2807</v>
      </c>
      <c r="BL34" s="4">
        <v>561547</v>
      </c>
      <c r="BM34" s="4">
        <v>561536</v>
      </c>
      <c r="BN34" s="4">
        <v>100000</v>
      </c>
      <c r="BO34" s="4">
        <v>100032</v>
      </c>
      <c r="BP34" s="4">
        <v>0</v>
      </c>
      <c r="BQ34" s="4">
        <v>3296</v>
      </c>
      <c r="BR34" s="4">
        <v>200570</v>
      </c>
      <c r="BS34" s="4">
        <v>200576</v>
      </c>
    </row>
    <row r="35" spans="1:71" x14ac:dyDescent="0.25">
      <c r="A35" s="4">
        <v>26</v>
      </c>
      <c r="B35" s="4">
        <v>2349</v>
      </c>
      <c r="C35" s="4">
        <v>2886</v>
      </c>
      <c r="D35" s="4">
        <v>577297</v>
      </c>
      <c r="E35" s="4">
        <v>577280</v>
      </c>
      <c r="F35" s="4">
        <v>100000</v>
      </c>
      <c r="G35" s="4">
        <v>100032</v>
      </c>
      <c r="H35" s="4">
        <v>0</v>
      </c>
      <c r="I35" s="4">
        <v>3595</v>
      </c>
      <c r="J35" s="4">
        <v>200869</v>
      </c>
      <c r="K35" s="4">
        <v>200896</v>
      </c>
      <c r="M35" s="4">
        <v>26</v>
      </c>
      <c r="N35" s="4">
        <v>2373</v>
      </c>
      <c r="O35" s="4">
        <v>2855</v>
      </c>
      <c r="P35" s="4">
        <v>571094</v>
      </c>
      <c r="Q35" s="4">
        <v>571072</v>
      </c>
      <c r="R35" s="4">
        <v>100000</v>
      </c>
      <c r="S35" s="4">
        <v>100032</v>
      </c>
      <c r="T35" s="4">
        <v>0</v>
      </c>
      <c r="U35" s="4">
        <v>3318</v>
      </c>
      <c r="V35" s="4">
        <v>200592</v>
      </c>
      <c r="W35" s="4">
        <v>200576</v>
      </c>
      <c r="Y35" s="4">
        <v>26</v>
      </c>
      <c r="Z35" s="4">
        <v>2394</v>
      </c>
      <c r="AA35" s="4">
        <v>2829</v>
      </c>
      <c r="AB35" s="4">
        <v>565765</v>
      </c>
      <c r="AC35" s="4">
        <v>565760</v>
      </c>
      <c r="AD35" s="4">
        <v>100000</v>
      </c>
      <c r="AE35" s="4">
        <v>100032</v>
      </c>
      <c r="AF35" s="4">
        <v>0</v>
      </c>
      <c r="AG35" s="4">
        <v>4088</v>
      </c>
      <c r="AH35" s="4">
        <v>201362</v>
      </c>
      <c r="AI35" s="4">
        <v>201344</v>
      </c>
      <c r="AK35" s="4">
        <v>26</v>
      </c>
      <c r="AL35" s="4">
        <v>2417</v>
      </c>
      <c r="AM35" s="4">
        <v>2800</v>
      </c>
      <c r="AN35" s="4">
        <v>560219</v>
      </c>
      <c r="AO35" s="4">
        <v>560192</v>
      </c>
      <c r="AP35" s="4">
        <v>100000</v>
      </c>
      <c r="AQ35" s="4">
        <v>100032</v>
      </c>
      <c r="AR35" s="4">
        <v>78</v>
      </c>
      <c r="AS35" s="4">
        <v>5596</v>
      </c>
      <c r="AT35" s="4">
        <v>202869</v>
      </c>
      <c r="AU35" s="4">
        <v>202880</v>
      </c>
      <c r="AW35" s="4">
        <v>26</v>
      </c>
      <c r="AX35" s="4">
        <v>2438</v>
      </c>
      <c r="AY35" s="4">
        <v>2775</v>
      </c>
      <c r="AZ35" s="4">
        <v>555031</v>
      </c>
      <c r="BA35" s="4">
        <v>555008</v>
      </c>
      <c r="BB35" s="4">
        <v>100000</v>
      </c>
      <c r="BC35" s="4">
        <v>100032</v>
      </c>
      <c r="BD35" s="4">
        <v>482</v>
      </c>
      <c r="BE35" s="4">
        <v>14686</v>
      </c>
      <c r="BF35" s="4">
        <v>211955</v>
      </c>
      <c r="BG35" s="4">
        <v>211968</v>
      </c>
      <c r="BI35" s="4">
        <v>26</v>
      </c>
      <c r="BJ35" s="4">
        <v>2413</v>
      </c>
      <c r="BK35" s="4">
        <v>2805</v>
      </c>
      <c r="BL35" s="4">
        <v>561141</v>
      </c>
      <c r="BM35" s="4">
        <v>561152</v>
      </c>
      <c r="BN35" s="4">
        <v>100000</v>
      </c>
      <c r="BO35" s="4">
        <v>100032</v>
      </c>
      <c r="BP35" s="4">
        <v>0</v>
      </c>
      <c r="BQ35" s="4">
        <v>3495</v>
      </c>
      <c r="BR35" s="4">
        <v>200769</v>
      </c>
      <c r="BS35" s="4">
        <v>200768</v>
      </c>
    </row>
    <row r="36" spans="1:71" x14ac:dyDescent="0.25">
      <c r="A36" s="4">
        <v>27</v>
      </c>
      <c r="B36" s="4">
        <v>2351</v>
      </c>
      <c r="C36" s="4">
        <v>2884</v>
      </c>
      <c r="D36" s="4">
        <v>577031</v>
      </c>
      <c r="E36" s="4">
        <v>577024</v>
      </c>
      <c r="F36" s="4">
        <v>100000</v>
      </c>
      <c r="G36" s="4">
        <v>100032</v>
      </c>
      <c r="H36" s="4">
        <v>0</v>
      </c>
      <c r="I36" s="4">
        <v>3610</v>
      </c>
      <c r="J36" s="4">
        <v>200884</v>
      </c>
      <c r="K36" s="4">
        <v>200896</v>
      </c>
      <c r="M36" s="4">
        <v>27</v>
      </c>
      <c r="N36" s="4">
        <v>2374</v>
      </c>
      <c r="O36" s="4">
        <v>2854</v>
      </c>
      <c r="P36" s="4">
        <v>570938</v>
      </c>
      <c r="Q36" s="4">
        <v>570944</v>
      </c>
      <c r="R36" s="4">
        <v>100000</v>
      </c>
      <c r="S36" s="4">
        <v>100032</v>
      </c>
      <c r="T36" s="4">
        <v>0</v>
      </c>
      <c r="U36" s="4">
        <v>3750</v>
      </c>
      <c r="V36" s="4">
        <v>201024</v>
      </c>
      <c r="W36" s="4">
        <v>201024</v>
      </c>
      <c r="Y36" s="4">
        <v>27</v>
      </c>
      <c r="Z36" s="4">
        <v>2394</v>
      </c>
      <c r="AA36" s="4">
        <v>2829</v>
      </c>
      <c r="AB36" s="4">
        <v>565797</v>
      </c>
      <c r="AC36" s="4">
        <v>565824</v>
      </c>
      <c r="AD36" s="4">
        <v>100000</v>
      </c>
      <c r="AE36" s="4">
        <v>100032</v>
      </c>
      <c r="AF36" s="4">
        <v>0</v>
      </c>
      <c r="AG36" s="4">
        <v>4031</v>
      </c>
      <c r="AH36" s="4">
        <v>201305</v>
      </c>
      <c r="AI36" s="4">
        <v>201280</v>
      </c>
      <c r="AK36" s="4">
        <v>27</v>
      </c>
      <c r="AL36" s="4">
        <v>2418</v>
      </c>
      <c r="AM36" s="4">
        <v>2799</v>
      </c>
      <c r="AN36" s="4">
        <v>559953</v>
      </c>
      <c r="AO36" s="4">
        <v>559936</v>
      </c>
      <c r="AP36" s="4">
        <v>100000</v>
      </c>
      <c r="AQ36" s="4">
        <v>100032</v>
      </c>
      <c r="AR36" s="4">
        <v>77</v>
      </c>
      <c r="AS36" s="4">
        <v>5586</v>
      </c>
      <c r="AT36" s="4">
        <v>202859</v>
      </c>
      <c r="AU36" s="4">
        <v>202880</v>
      </c>
      <c r="AW36" s="4">
        <v>27</v>
      </c>
      <c r="AX36" s="4">
        <v>2438</v>
      </c>
      <c r="AY36" s="4">
        <v>2775</v>
      </c>
      <c r="AZ36" s="4">
        <v>555031</v>
      </c>
      <c r="BA36" s="4">
        <v>555008</v>
      </c>
      <c r="BB36" s="4">
        <v>100000</v>
      </c>
      <c r="BC36" s="4">
        <v>100032</v>
      </c>
      <c r="BD36" s="4">
        <v>492</v>
      </c>
      <c r="BE36" s="4">
        <v>14936</v>
      </c>
      <c r="BF36" s="4">
        <v>212205</v>
      </c>
      <c r="BG36" s="4">
        <v>212224</v>
      </c>
      <c r="BI36" s="4">
        <v>27</v>
      </c>
      <c r="BJ36" s="4">
        <v>2413</v>
      </c>
      <c r="BK36" s="4">
        <v>2805</v>
      </c>
      <c r="BL36" s="4">
        <v>561000</v>
      </c>
      <c r="BM36" s="4">
        <v>561024</v>
      </c>
      <c r="BN36" s="4">
        <v>100000</v>
      </c>
      <c r="BO36" s="4">
        <v>100032</v>
      </c>
      <c r="BP36" s="4">
        <v>0</v>
      </c>
      <c r="BQ36" s="4">
        <v>3501</v>
      </c>
      <c r="BR36" s="4">
        <v>200775</v>
      </c>
      <c r="BS36" s="4">
        <v>200768</v>
      </c>
    </row>
    <row r="37" spans="1:71" x14ac:dyDescent="0.25">
      <c r="A37" s="4">
        <v>28</v>
      </c>
      <c r="B37" s="4">
        <v>2353</v>
      </c>
      <c r="C37" s="4">
        <v>2881</v>
      </c>
      <c r="D37" s="4">
        <v>576266</v>
      </c>
      <c r="E37" s="4">
        <v>576256</v>
      </c>
      <c r="F37" s="4">
        <v>100000</v>
      </c>
      <c r="G37" s="4">
        <v>100032</v>
      </c>
      <c r="H37" s="4">
        <v>0</v>
      </c>
      <c r="I37" s="4">
        <v>3326</v>
      </c>
      <c r="J37" s="4">
        <v>200600</v>
      </c>
      <c r="K37" s="4">
        <v>200576</v>
      </c>
      <c r="M37" s="4">
        <v>28</v>
      </c>
      <c r="N37" s="4">
        <v>2374</v>
      </c>
      <c r="O37" s="4">
        <v>2854</v>
      </c>
      <c r="P37" s="4">
        <v>570875</v>
      </c>
      <c r="Q37" s="4">
        <v>570880</v>
      </c>
      <c r="R37" s="4">
        <v>100000</v>
      </c>
      <c r="S37" s="4">
        <v>100032</v>
      </c>
      <c r="T37" s="4">
        <v>3</v>
      </c>
      <c r="U37" s="4">
        <v>4241</v>
      </c>
      <c r="V37" s="4">
        <v>201515</v>
      </c>
      <c r="W37" s="4">
        <v>201536</v>
      </c>
      <c r="Y37" s="4">
        <v>28</v>
      </c>
      <c r="Z37" s="4">
        <v>2394</v>
      </c>
      <c r="AA37" s="4">
        <v>2829</v>
      </c>
      <c r="AB37" s="4">
        <v>565812</v>
      </c>
      <c r="AC37" s="4">
        <v>565824</v>
      </c>
      <c r="AD37" s="4">
        <v>100000</v>
      </c>
      <c r="AE37" s="4">
        <v>100032</v>
      </c>
      <c r="AF37" s="4">
        <v>7</v>
      </c>
      <c r="AG37" s="4">
        <v>4295</v>
      </c>
      <c r="AH37" s="4">
        <v>201569</v>
      </c>
      <c r="AI37" s="4">
        <v>201600</v>
      </c>
      <c r="AK37" s="4">
        <v>28</v>
      </c>
      <c r="AL37" s="4">
        <v>2419</v>
      </c>
      <c r="AM37" s="4">
        <v>2798</v>
      </c>
      <c r="AN37" s="4">
        <v>559656</v>
      </c>
      <c r="AO37" s="4">
        <v>559680</v>
      </c>
      <c r="AP37" s="4">
        <v>100000</v>
      </c>
      <c r="AQ37" s="4">
        <v>100032</v>
      </c>
      <c r="AR37" s="4">
        <v>76</v>
      </c>
      <c r="AS37" s="4">
        <v>5554</v>
      </c>
      <c r="AT37" s="4">
        <v>202827</v>
      </c>
      <c r="AU37" s="4">
        <v>202816</v>
      </c>
      <c r="AW37" s="4">
        <v>28</v>
      </c>
      <c r="AX37" s="4">
        <v>2438</v>
      </c>
      <c r="AY37" s="4">
        <v>2775</v>
      </c>
      <c r="AZ37" s="4">
        <v>555062</v>
      </c>
      <c r="BA37" s="4">
        <v>555072</v>
      </c>
      <c r="BB37" s="4">
        <v>100000</v>
      </c>
      <c r="BC37" s="4">
        <v>100032</v>
      </c>
      <c r="BD37" s="4">
        <v>482</v>
      </c>
      <c r="BE37" s="4">
        <v>14693</v>
      </c>
      <c r="BF37" s="4">
        <v>211962</v>
      </c>
      <c r="BG37" s="4">
        <v>211968</v>
      </c>
      <c r="BI37" s="4">
        <v>28</v>
      </c>
      <c r="BJ37" s="4">
        <v>2413</v>
      </c>
      <c r="BK37" s="4">
        <v>2805</v>
      </c>
      <c r="BL37" s="4">
        <v>560969</v>
      </c>
      <c r="BM37" s="4">
        <v>560960</v>
      </c>
      <c r="BN37" s="4">
        <v>100000</v>
      </c>
      <c r="BO37" s="4">
        <v>100032</v>
      </c>
      <c r="BP37" s="4">
        <v>0</v>
      </c>
      <c r="BQ37" s="4">
        <v>3468</v>
      </c>
      <c r="BR37" s="4">
        <v>200742</v>
      </c>
      <c r="BS37" s="4">
        <v>200768</v>
      </c>
    </row>
    <row r="38" spans="1:71" x14ac:dyDescent="0.25">
      <c r="A38" s="4">
        <v>29</v>
      </c>
      <c r="B38" s="4">
        <v>2354</v>
      </c>
      <c r="C38" s="4">
        <v>2880</v>
      </c>
      <c r="D38" s="4">
        <v>576141</v>
      </c>
      <c r="E38" s="4">
        <v>576128</v>
      </c>
      <c r="F38" s="4">
        <v>100000</v>
      </c>
      <c r="G38" s="4">
        <v>100032</v>
      </c>
      <c r="H38" s="4">
        <v>0</v>
      </c>
      <c r="I38" s="4">
        <v>3299</v>
      </c>
      <c r="J38" s="4">
        <v>200573</v>
      </c>
      <c r="K38" s="4">
        <v>200576</v>
      </c>
      <c r="M38" s="4">
        <v>29</v>
      </c>
      <c r="N38" s="4">
        <v>2374</v>
      </c>
      <c r="O38" s="4">
        <v>2854</v>
      </c>
      <c r="P38" s="4">
        <v>570906</v>
      </c>
      <c r="Q38" s="4">
        <v>570880</v>
      </c>
      <c r="R38" s="4">
        <v>100000</v>
      </c>
      <c r="S38" s="4">
        <v>100032</v>
      </c>
      <c r="T38" s="4">
        <v>0</v>
      </c>
      <c r="U38" s="4">
        <v>3273</v>
      </c>
      <c r="V38" s="4">
        <v>200547</v>
      </c>
      <c r="W38" s="4">
        <v>200576</v>
      </c>
      <c r="Y38" s="4">
        <v>29</v>
      </c>
      <c r="Z38" s="4">
        <v>2394</v>
      </c>
      <c r="AA38" s="4">
        <v>2829</v>
      </c>
      <c r="AB38" s="4">
        <v>565812</v>
      </c>
      <c r="AC38" s="4">
        <v>565824</v>
      </c>
      <c r="AD38" s="4">
        <v>100000</v>
      </c>
      <c r="AE38" s="4">
        <v>100032</v>
      </c>
      <c r="AF38" s="4">
        <v>0</v>
      </c>
      <c r="AG38" s="4">
        <v>4017</v>
      </c>
      <c r="AH38" s="4">
        <v>201291</v>
      </c>
      <c r="AI38" s="4">
        <v>201280</v>
      </c>
      <c r="AK38" s="4">
        <v>29</v>
      </c>
      <c r="AL38" s="4">
        <v>2420</v>
      </c>
      <c r="AM38" s="4">
        <v>2797</v>
      </c>
      <c r="AN38" s="4">
        <v>559469</v>
      </c>
      <c r="AO38" s="4">
        <v>559488</v>
      </c>
      <c r="AP38" s="4">
        <v>100000</v>
      </c>
      <c r="AQ38" s="4">
        <v>100032</v>
      </c>
      <c r="AR38" s="4">
        <v>70</v>
      </c>
      <c r="AS38" s="4">
        <v>5437</v>
      </c>
      <c r="AT38" s="4">
        <v>202710</v>
      </c>
      <c r="AU38" s="4">
        <v>202688</v>
      </c>
      <c r="AW38" s="4">
        <v>29</v>
      </c>
      <c r="AX38" s="4">
        <v>2437</v>
      </c>
      <c r="AY38" s="4">
        <v>2776</v>
      </c>
      <c r="AZ38" s="4">
        <v>555188</v>
      </c>
      <c r="BA38" s="4">
        <v>555200</v>
      </c>
      <c r="BB38" s="4">
        <v>100000</v>
      </c>
      <c r="BC38" s="4">
        <v>100032</v>
      </c>
      <c r="BD38" s="4">
        <v>487</v>
      </c>
      <c r="BE38" s="4">
        <v>14821</v>
      </c>
      <c r="BF38" s="4">
        <v>212090</v>
      </c>
      <c r="BG38" s="4">
        <v>212096</v>
      </c>
      <c r="BI38" s="4">
        <v>29</v>
      </c>
      <c r="BJ38" s="4">
        <v>2414</v>
      </c>
      <c r="BK38" s="4">
        <v>2804</v>
      </c>
      <c r="BL38" s="4">
        <v>560922</v>
      </c>
      <c r="BM38" s="4">
        <v>560896</v>
      </c>
      <c r="BN38" s="4">
        <v>100000</v>
      </c>
      <c r="BO38" s="4">
        <v>100032</v>
      </c>
      <c r="BP38" s="4">
        <v>0</v>
      </c>
      <c r="BQ38" s="4">
        <v>3431</v>
      </c>
      <c r="BR38" s="4">
        <v>200705</v>
      </c>
      <c r="BS38" s="4">
        <v>200704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572"/>
  <sheetViews>
    <sheetView workbookViewId="0"/>
  </sheetViews>
  <sheetFormatPr defaultRowHeight="15" x14ac:dyDescent="0.25"/>
  <cols>
    <col min="2" max="2" width="9.7109375" bestFit="1" customWidth="1"/>
  </cols>
  <sheetData>
    <row r="1" spans="1:21" x14ac:dyDescent="0.25">
      <c r="A1" t="s">
        <v>0</v>
      </c>
    </row>
    <row r="2" spans="1:21" x14ac:dyDescent="0.25">
      <c r="E2" t="s">
        <v>1527</v>
      </c>
    </row>
    <row r="3" spans="1:21" x14ac:dyDescent="0.25">
      <c r="A3" s="1" t="s">
        <v>761</v>
      </c>
      <c r="B3" s="1">
        <v>42837</v>
      </c>
      <c r="E3" t="s">
        <v>1197</v>
      </c>
    </row>
    <row r="4" spans="1:21" x14ac:dyDescent="0.25">
      <c r="A4" t="s">
        <v>762</v>
      </c>
      <c r="B4" s="3">
        <v>0.40486111111111112</v>
      </c>
      <c r="E4" t="s">
        <v>1526</v>
      </c>
    </row>
    <row r="5" spans="1:21" x14ac:dyDescent="0.25">
      <c r="A5" t="s">
        <v>763</v>
      </c>
      <c r="B5" s="3">
        <v>0.42777777777777781</v>
      </c>
    </row>
    <row r="6" spans="1:21" x14ac:dyDescent="0.25">
      <c r="E6" t="s">
        <v>1196</v>
      </c>
    </row>
    <row r="7" spans="1:21" x14ac:dyDescent="0.25">
      <c r="A7" t="s">
        <v>813</v>
      </c>
      <c r="E7" t="s">
        <v>814</v>
      </c>
    </row>
    <row r="8" spans="1:21" x14ac:dyDescent="0.25">
      <c r="A8" t="s">
        <v>1</v>
      </c>
      <c r="E8" t="s">
        <v>1</v>
      </c>
      <c r="I8" t="s">
        <v>299</v>
      </c>
      <c r="M8" t="s">
        <v>415</v>
      </c>
      <c r="Q8" t="s">
        <v>533</v>
      </c>
      <c r="U8" t="s">
        <v>1</v>
      </c>
    </row>
    <row r="9" spans="1:21" x14ac:dyDescent="0.25">
      <c r="A9" t="s">
        <v>2</v>
      </c>
      <c r="E9" t="s">
        <v>933</v>
      </c>
      <c r="I9" t="s">
        <v>933</v>
      </c>
      <c r="M9" t="s">
        <v>2</v>
      </c>
      <c r="Q9" t="s">
        <v>933</v>
      </c>
      <c r="U9" t="s">
        <v>2</v>
      </c>
    </row>
    <row r="10" spans="1:21" x14ac:dyDescent="0.25">
      <c r="A10" t="s">
        <v>3</v>
      </c>
      <c r="E10" t="s">
        <v>934</v>
      </c>
      <c r="I10" t="s">
        <v>934</v>
      </c>
      <c r="M10" t="s">
        <v>3</v>
      </c>
      <c r="Q10" t="s">
        <v>934</v>
      </c>
      <c r="U10" t="s">
        <v>3</v>
      </c>
    </row>
    <row r="11" spans="1:21" x14ac:dyDescent="0.25">
      <c r="A11" t="s">
        <v>4</v>
      </c>
      <c r="E11" t="s">
        <v>935</v>
      </c>
      <c r="I11" t="s">
        <v>935</v>
      </c>
      <c r="M11" t="s">
        <v>4</v>
      </c>
      <c r="Q11" t="s">
        <v>935</v>
      </c>
      <c r="U11" t="s">
        <v>4</v>
      </c>
    </row>
    <row r="12" spans="1:21" x14ac:dyDescent="0.25">
      <c r="A12" t="s">
        <v>5</v>
      </c>
      <c r="E12" t="s">
        <v>936</v>
      </c>
      <c r="I12" t="s">
        <v>936</v>
      </c>
      <c r="M12" t="s">
        <v>5</v>
      </c>
      <c r="Q12" t="s">
        <v>936</v>
      </c>
      <c r="U12" t="s">
        <v>5</v>
      </c>
    </row>
    <row r="13" spans="1:21" x14ac:dyDescent="0.25">
      <c r="A13" t="s">
        <v>6</v>
      </c>
      <c r="E13" t="s">
        <v>181</v>
      </c>
      <c r="I13" t="s">
        <v>181</v>
      </c>
      <c r="M13" t="s">
        <v>6</v>
      </c>
      <c r="Q13" t="s">
        <v>181</v>
      </c>
      <c r="U13" t="s">
        <v>6</v>
      </c>
    </row>
    <row r="14" spans="1:21" x14ac:dyDescent="0.25">
      <c r="A14" t="s">
        <v>7</v>
      </c>
      <c r="E14" t="s">
        <v>182</v>
      </c>
      <c r="I14" t="s">
        <v>182</v>
      </c>
      <c r="M14" t="s">
        <v>7</v>
      </c>
      <c r="Q14" t="s">
        <v>182</v>
      </c>
      <c r="U14" t="s">
        <v>7</v>
      </c>
    </row>
    <row r="15" spans="1:21" x14ac:dyDescent="0.25">
      <c r="A15" t="s">
        <v>8</v>
      </c>
      <c r="E15" t="s">
        <v>14</v>
      </c>
      <c r="I15" t="s">
        <v>14</v>
      </c>
      <c r="M15" t="s">
        <v>8</v>
      </c>
      <c r="Q15" t="s">
        <v>14</v>
      </c>
      <c r="U15" t="s">
        <v>8</v>
      </c>
    </row>
    <row r="16" spans="1:21" x14ac:dyDescent="0.25">
      <c r="A16" t="s">
        <v>9</v>
      </c>
      <c r="E16" t="s">
        <v>15</v>
      </c>
      <c r="I16" t="s">
        <v>15</v>
      </c>
      <c r="M16" t="s">
        <v>9</v>
      </c>
      <c r="Q16" t="s">
        <v>15</v>
      </c>
      <c r="U16" t="s">
        <v>9</v>
      </c>
    </row>
    <row r="17" spans="1:21" x14ac:dyDescent="0.25">
      <c r="A17" t="s">
        <v>10</v>
      </c>
      <c r="E17" t="s">
        <v>12</v>
      </c>
      <c r="I17" t="s">
        <v>12</v>
      </c>
      <c r="M17" t="s">
        <v>10</v>
      </c>
      <c r="Q17" t="s">
        <v>12</v>
      </c>
      <c r="U17" t="s">
        <v>10</v>
      </c>
    </row>
    <row r="18" spans="1:21" x14ac:dyDescent="0.25">
      <c r="A18" t="s">
        <v>11</v>
      </c>
      <c r="E18" t="s">
        <v>13</v>
      </c>
      <c r="I18" t="s">
        <v>13</v>
      </c>
      <c r="M18" t="s">
        <v>11</v>
      </c>
      <c r="Q18" t="s">
        <v>13</v>
      </c>
      <c r="U18" t="s">
        <v>11</v>
      </c>
    </row>
    <row r="19" spans="1:21" x14ac:dyDescent="0.25">
      <c r="A19" t="s">
        <v>12</v>
      </c>
      <c r="E19" t="s">
        <v>10</v>
      </c>
      <c r="I19" t="s">
        <v>10</v>
      </c>
      <c r="M19" t="s">
        <v>12</v>
      </c>
      <c r="Q19" t="s">
        <v>10</v>
      </c>
      <c r="U19" t="s">
        <v>12</v>
      </c>
    </row>
    <row r="20" spans="1:21" x14ac:dyDescent="0.25">
      <c r="A20" t="s">
        <v>13</v>
      </c>
      <c r="E20" t="s">
        <v>11</v>
      </c>
      <c r="I20" t="s">
        <v>11</v>
      </c>
      <c r="M20" t="s">
        <v>13</v>
      </c>
      <c r="Q20" t="s">
        <v>11</v>
      </c>
      <c r="U20" t="s">
        <v>13</v>
      </c>
    </row>
    <row r="21" spans="1:21" x14ac:dyDescent="0.25">
      <c r="A21" t="s">
        <v>14</v>
      </c>
    </row>
    <row r="22" spans="1:21" x14ac:dyDescent="0.25">
      <c r="A22" t="s">
        <v>15</v>
      </c>
      <c r="E22" t="s">
        <v>8</v>
      </c>
      <c r="I22" t="s">
        <v>8</v>
      </c>
      <c r="M22" t="s">
        <v>14</v>
      </c>
      <c r="Q22" t="s">
        <v>8</v>
      </c>
      <c r="U22" t="s">
        <v>14</v>
      </c>
    </row>
    <row r="23" spans="1:21" x14ac:dyDescent="0.25">
      <c r="A23" t="s">
        <v>816</v>
      </c>
      <c r="E23" t="s">
        <v>9</v>
      </c>
      <c r="I23" t="s">
        <v>9</v>
      </c>
      <c r="M23" t="s">
        <v>15</v>
      </c>
      <c r="Q23" t="s">
        <v>9</v>
      </c>
      <c r="U23" t="s">
        <v>15</v>
      </c>
    </row>
    <row r="24" spans="1:21" x14ac:dyDescent="0.25">
      <c r="A24" t="s">
        <v>16</v>
      </c>
      <c r="E24" t="s">
        <v>937</v>
      </c>
      <c r="I24" t="s">
        <v>1075</v>
      </c>
      <c r="M24" t="s">
        <v>1198</v>
      </c>
      <c r="Q24" t="s">
        <v>1309</v>
      </c>
      <c r="U24" t="s">
        <v>1417</v>
      </c>
    </row>
    <row r="25" spans="1:21" x14ac:dyDescent="0.25">
      <c r="A25" t="s">
        <v>817</v>
      </c>
      <c r="E25" t="s">
        <v>28</v>
      </c>
      <c r="I25" t="s">
        <v>28</v>
      </c>
      <c r="M25" t="s">
        <v>16</v>
      </c>
      <c r="Q25" t="s">
        <v>28</v>
      </c>
      <c r="U25" t="s">
        <v>16</v>
      </c>
    </row>
    <row r="26" spans="1:21" x14ac:dyDescent="0.25">
      <c r="A26" t="s">
        <v>18</v>
      </c>
      <c r="E26" t="s">
        <v>938</v>
      </c>
      <c r="I26" t="s">
        <v>1076</v>
      </c>
      <c r="M26" t="s">
        <v>1199</v>
      </c>
      <c r="Q26" t="s">
        <v>1310</v>
      </c>
      <c r="U26" t="s">
        <v>1418</v>
      </c>
    </row>
    <row r="27" spans="1:21" x14ac:dyDescent="0.25">
      <c r="A27" t="s">
        <v>19</v>
      </c>
      <c r="E27" t="s">
        <v>30</v>
      </c>
      <c r="I27" t="s">
        <v>30</v>
      </c>
      <c r="M27" t="s">
        <v>18</v>
      </c>
      <c r="Q27" t="s">
        <v>30</v>
      </c>
      <c r="U27" t="s">
        <v>18</v>
      </c>
    </row>
    <row r="28" spans="1:21" x14ac:dyDescent="0.25">
      <c r="A28" t="s">
        <v>20</v>
      </c>
      <c r="E28" t="s">
        <v>31</v>
      </c>
      <c r="I28" t="s">
        <v>31</v>
      </c>
      <c r="M28" t="s">
        <v>19</v>
      </c>
      <c r="Q28" t="s">
        <v>31</v>
      </c>
      <c r="U28" t="s">
        <v>19</v>
      </c>
    </row>
    <row r="29" spans="1:21" x14ac:dyDescent="0.25">
      <c r="A29" t="s">
        <v>818</v>
      </c>
      <c r="E29" t="s">
        <v>32</v>
      </c>
      <c r="I29" t="s">
        <v>32</v>
      </c>
      <c r="M29" t="s">
        <v>20</v>
      </c>
      <c r="Q29" t="s">
        <v>32</v>
      </c>
      <c r="U29" t="s">
        <v>20</v>
      </c>
    </row>
    <row r="30" spans="1:21" x14ac:dyDescent="0.25">
      <c r="A30" t="s">
        <v>22</v>
      </c>
      <c r="E30" t="s">
        <v>939</v>
      </c>
      <c r="I30" t="s">
        <v>1077</v>
      </c>
      <c r="M30" t="s">
        <v>1200</v>
      </c>
      <c r="Q30" t="s">
        <v>1311</v>
      </c>
      <c r="U30" t="s">
        <v>1419</v>
      </c>
    </row>
    <row r="31" spans="1:21" x14ac:dyDescent="0.25">
      <c r="A31" t="s">
        <v>819</v>
      </c>
      <c r="E31" t="s">
        <v>34</v>
      </c>
      <c r="I31" t="s">
        <v>34</v>
      </c>
      <c r="M31" t="s">
        <v>22</v>
      </c>
      <c r="Q31" t="s">
        <v>34</v>
      </c>
      <c r="U31" t="s">
        <v>22</v>
      </c>
    </row>
    <row r="32" spans="1:21" x14ac:dyDescent="0.25">
      <c r="A32" t="s">
        <v>24</v>
      </c>
      <c r="E32" t="s">
        <v>940</v>
      </c>
      <c r="I32" t="s">
        <v>1078</v>
      </c>
      <c r="M32" t="s">
        <v>1201</v>
      </c>
      <c r="Q32" t="s">
        <v>1312</v>
      </c>
      <c r="U32" t="s">
        <v>1420</v>
      </c>
    </row>
    <row r="33" spans="1:21" x14ac:dyDescent="0.25">
      <c r="A33" t="s">
        <v>25</v>
      </c>
      <c r="E33" t="s">
        <v>36</v>
      </c>
      <c r="I33" t="s">
        <v>36</v>
      </c>
      <c r="M33" t="s">
        <v>24</v>
      </c>
      <c r="Q33" t="s">
        <v>36</v>
      </c>
      <c r="U33" t="s">
        <v>24</v>
      </c>
    </row>
    <row r="34" spans="1:21" x14ac:dyDescent="0.25">
      <c r="A34" t="s">
        <v>26</v>
      </c>
      <c r="E34" t="s">
        <v>37</v>
      </c>
      <c r="I34" t="s">
        <v>37</v>
      </c>
      <c r="M34" t="s">
        <v>25</v>
      </c>
      <c r="Q34" t="s">
        <v>37</v>
      </c>
      <c r="U34" t="s">
        <v>25</v>
      </c>
    </row>
    <row r="35" spans="1:21" x14ac:dyDescent="0.25">
      <c r="E35" t="s">
        <v>38</v>
      </c>
      <c r="I35" t="s">
        <v>38</v>
      </c>
      <c r="M35" t="s">
        <v>26</v>
      </c>
      <c r="Q35" t="s">
        <v>38</v>
      </c>
      <c r="U35" t="s">
        <v>26</v>
      </c>
    </row>
    <row r="36" spans="1:21" x14ac:dyDescent="0.25">
      <c r="A36" t="s">
        <v>8</v>
      </c>
    </row>
    <row r="37" spans="1:21" x14ac:dyDescent="0.25">
      <c r="A37" t="s">
        <v>9</v>
      </c>
      <c r="E37" t="s">
        <v>14</v>
      </c>
      <c r="I37" t="s">
        <v>14</v>
      </c>
      <c r="M37" t="s">
        <v>8</v>
      </c>
      <c r="Q37" t="s">
        <v>14</v>
      </c>
      <c r="U37" t="s">
        <v>8</v>
      </c>
    </row>
    <row r="38" spans="1:21" x14ac:dyDescent="0.25">
      <c r="A38" t="s">
        <v>820</v>
      </c>
      <c r="E38" t="s">
        <v>15</v>
      </c>
      <c r="I38" t="s">
        <v>15</v>
      </c>
      <c r="M38" t="s">
        <v>9</v>
      </c>
      <c r="Q38" t="s">
        <v>15</v>
      </c>
      <c r="U38" t="s">
        <v>9</v>
      </c>
    </row>
    <row r="39" spans="1:21" x14ac:dyDescent="0.25">
      <c r="A39" t="s">
        <v>28</v>
      </c>
      <c r="E39" t="s">
        <v>941</v>
      </c>
      <c r="I39" t="s">
        <v>1079</v>
      </c>
      <c r="M39" t="s">
        <v>1202</v>
      </c>
      <c r="Q39" t="s">
        <v>1313</v>
      </c>
      <c r="U39" t="s">
        <v>1421</v>
      </c>
    </row>
    <row r="40" spans="1:21" x14ac:dyDescent="0.25">
      <c r="A40" t="s">
        <v>821</v>
      </c>
      <c r="E40" t="s">
        <v>16</v>
      </c>
      <c r="I40" t="s">
        <v>16</v>
      </c>
      <c r="M40" t="s">
        <v>28</v>
      </c>
      <c r="Q40" t="s">
        <v>16</v>
      </c>
      <c r="U40" t="s">
        <v>28</v>
      </c>
    </row>
    <row r="41" spans="1:21" x14ac:dyDescent="0.25">
      <c r="A41" t="s">
        <v>30</v>
      </c>
      <c r="E41" t="s">
        <v>942</v>
      </c>
      <c r="I41" t="s">
        <v>511</v>
      </c>
      <c r="M41" t="s">
        <v>1203</v>
      </c>
      <c r="Q41" t="s">
        <v>1314</v>
      </c>
      <c r="U41" t="s">
        <v>1355</v>
      </c>
    </row>
    <row r="42" spans="1:21" x14ac:dyDescent="0.25">
      <c r="A42" t="s">
        <v>31</v>
      </c>
      <c r="E42" t="s">
        <v>18</v>
      </c>
      <c r="I42" t="s">
        <v>18</v>
      </c>
      <c r="M42" t="s">
        <v>30</v>
      </c>
      <c r="Q42" t="s">
        <v>18</v>
      </c>
      <c r="U42" t="s">
        <v>30</v>
      </c>
    </row>
    <row r="43" spans="1:21" x14ac:dyDescent="0.25">
      <c r="A43" t="s">
        <v>32</v>
      </c>
      <c r="E43" t="s">
        <v>19</v>
      </c>
      <c r="I43" t="s">
        <v>19</v>
      </c>
      <c r="M43" t="s">
        <v>31</v>
      </c>
      <c r="Q43" t="s">
        <v>19</v>
      </c>
      <c r="U43" t="s">
        <v>31</v>
      </c>
    </row>
    <row r="44" spans="1:21" x14ac:dyDescent="0.25">
      <c r="A44" t="s">
        <v>822</v>
      </c>
      <c r="E44" t="s">
        <v>20</v>
      </c>
      <c r="I44" t="s">
        <v>20</v>
      </c>
      <c r="M44" t="s">
        <v>32</v>
      </c>
      <c r="Q44" t="s">
        <v>20</v>
      </c>
      <c r="U44" t="s">
        <v>32</v>
      </c>
    </row>
    <row r="45" spans="1:21" x14ac:dyDescent="0.25">
      <c r="A45" t="s">
        <v>34</v>
      </c>
      <c r="E45" t="s">
        <v>943</v>
      </c>
      <c r="I45" t="s">
        <v>1080</v>
      </c>
      <c r="M45" t="s">
        <v>1204</v>
      </c>
      <c r="Q45" t="s">
        <v>1315</v>
      </c>
      <c r="U45" t="s">
        <v>1422</v>
      </c>
    </row>
    <row r="46" spans="1:21" x14ac:dyDescent="0.25">
      <c r="A46" t="s">
        <v>823</v>
      </c>
      <c r="E46" t="s">
        <v>22</v>
      </c>
      <c r="I46" t="s">
        <v>22</v>
      </c>
      <c r="M46" t="s">
        <v>34</v>
      </c>
      <c r="Q46" t="s">
        <v>22</v>
      </c>
      <c r="U46" t="s">
        <v>34</v>
      </c>
    </row>
    <row r="47" spans="1:21" x14ac:dyDescent="0.25">
      <c r="A47" t="s">
        <v>36</v>
      </c>
      <c r="E47" t="s">
        <v>944</v>
      </c>
      <c r="I47" t="s">
        <v>1081</v>
      </c>
      <c r="M47" t="s">
        <v>1205</v>
      </c>
      <c r="Q47" t="s">
        <v>1316</v>
      </c>
      <c r="U47" t="s">
        <v>1423</v>
      </c>
    </row>
    <row r="48" spans="1:21" x14ac:dyDescent="0.25">
      <c r="A48" t="s">
        <v>37</v>
      </c>
      <c r="E48" t="s">
        <v>24</v>
      </c>
      <c r="I48" t="s">
        <v>24</v>
      </c>
      <c r="M48" t="s">
        <v>36</v>
      </c>
      <c r="Q48" t="s">
        <v>24</v>
      </c>
      <c r="U48" t="s">
        <v>36</v>
      </c>
    </row>
    <row r="49" spans="1:21" x14ac:dyDescent="0.25">
      <c r="A49" t="s">
        <v>38</v>
      </c>
      <c r="E49" t="s">
        <v>25</v>
      </c>
      <c r="I49" t="s">
        <v>25</v>
      </c>
      <c r="M49" t="s">
        <v>37</v>
      </c>
      <c r="Q49" t="s">
        <v>25</v>
      </c>
      <c r="U49" t="s">
        <v>37</v>
      </c>
    </row>
    <row r="50" spans="1:21" x14ac:dyDescent="0.25">
      <c r="E50" t="s">
        <v>26</v>
      </c>
      <c r="I50" t="s">
        <v>26</v>
      </c>
      <c r="M50" t="s">
        <v>38</v>
      </c>
      <c r="Q50" t="s">
        <v>26</v>
      </c>
      <c r="U50" t="s">
        <v>38</v>
      </c>
    </row>
    <row r="51" spans="1:21" x14ac:dyDescent="0.25">
      <c r="A51" t="s">
        <v>14</v>
      </c>
    </row>
    <row r="52" spans="1:21" x14ac:dyDescent="0.25">
      <c r="A52" t="s">
        <v>15</v>
      </c>
      <c r="E52" t="s">
        <v>8</v>
      </c>
      <c r="I52" t="s">
        <v>8</v>
      </c>
      <c r="M52" t="s">
        <v>14</v>
      </c>
      <c r="Q52" t="s">
        <v>8</v>
      </c>
      <c r="U52" t="s">
        <v>14</v>
      </c>
    </row>
    <row r="53" spans="1:21" x14ac:dyDescent="0.25">
      <c r="A53" t="s">
        <v>824</v>
      </c>
      <c r="E53" t="s">
        <v>9</v>
      </c>
      <c r="I53" t="s">
        <v>9</v>
      </c>
      <c r="M53" t="s">
        <v>15</v>
      </c>
      <c r="Q53" t="s">
        <v>9</v>
      </c>
      <c r="U53" t="s">
        <v>15</v>
      </c>
    </row>
    <row r="54" spans="1:21" x14ac:dyDescent="0.25">
      <c r="A54" t="s">
        <v>16</v>
      </c>
      <c r="E54" t="s">
        <v>945</v>
      </c>
      <c r="I54" t="s">
        <v>1082</v>
      </c>
      <c r="M54" t="s">
        <v>1206</v>
      </c>
      <c r="Q54" t="s">
        <v>1317</v>
      </c>
      <c r="U54" t="s">
        <v>1424</v>
      </c>
    </row>
    <row r="55" spans="1:21" x14ac:dyDescent="0.25">
      <c r="A55" t="s">
        <v>825</v>
      </c>
      <c r="E55" t="s">
        <v>28</v>
      </c>
      <c r="I55" t="s">
        <v>28</v>
      </c>
      <c r="M55" t="s">
        <v>16</v>
      </c>
      <c r="Q55" t="s">
        <v>28</v>
      </c>
      <c r="U55" t="s">
        <v>16</v>
      </c>
    </row>
    <row r="56" spans="1:21" x14ac:dyDescent="0.25">
      <c r="A56" t="s">
        <v>18</v>
      </c>
      <c r="E56" t="s">
        <v>946</v>
      </c>
      <c r="I56" t="s">
        <v>1083</v>
      </c>
      <c r="M56" t="s">
        <v>1207</v>
      </c>
      <c r="Q56" t="s">
        <v>1318</v>
      </c>
      <c r="U56" t="s">
        <v>1425</v>
      </c>
    </row>
    <row r="57" spans="1:21" x14ac:dyDescent="0.25">
      <c r="A57" t="s">
        <v>19</v>
      </c>
      <c r="E57" t="s">
        <v>30</v>
      </c>
      <c r="I57" t="s">
        <v>30</v>
      </c>
      <c r="M57" t="s">
        <v>18</v>
      </c>
      <c r="Q57" t="s">
        <v>30</v>
      </c>
      <c r="U57" t="s">
        <v>18</v>
      </c>
    </row>
    <row r="58" spans="1:21" x14ac:dyDescent="0.25">
      <c r="A58" t="s">
        <v>20</v>
      </c>
      <c r="E58" t="s">
        <v>31</v>
      </c>
      <c r="I58" t="s">
        <v>31</v>
      </c>
      <c r="M58" t="s">
        <v>19</v>
      </c>
      <c r="Q58" t="s">
        <v>31</v>
      </c>
      <c r="U58" t="s">
        <v>19</v>
      </c>
    </row>
    <row r="59" spans="1:21" x14ac:dyDescent="0.25">
      <c r="A59" t="s">
        <v>826</v>
      </c>
      <c r="E59" t="s">
        <v>32</v>
      </c>
      <c r="I59" t="s">
        <v>32</v>
      </c>
      <c r="M59" t="s">
        <v>20</v>
      </c>
      <c r="Q59" t="s">
        <v>32</v>
      </c>
      <c r="U59" t="s">
        <v>20</v>
      </c>
    </row>
    <row r="60" spans="1:21" x14ac:dyDescent="0.25">
      <c r="A60" t="s">
        <v>22</v>
      </c>
      <c r="E60" t="s">
        <v>947</v>
      </c>
      <c r="I60" t="s">
        <v>1084</v>
      </c>
      <c r="M60" t="s">
        <v>1208</v>
      </c>
      <c r="Q60" t="s">
        <v>1319</v>
      </c>
      <c r="U60" t="s">
        <v>1426</v>
      </c>
    </row>
    <row r="61" spans="1:21" x14ac:dyDescent="0.25">
      <c r="A61" t="s">
        <v>827</v>
      </c>
      <c r="E61" t="s">
        <v>34</v>
      </c>
      <c r="I61" t="s">
        <v>34</v>
      </c>
      <c r="M61" t="s">
        <v>22</v>
      </c>
      <c r="Q61" t="s">
        <v>34</v>
      </c>
      <c r="U61" t="s">
        <v>22</v>
      </c>
    </row>
    <row r="62" spans="1:21" x14ac:dyDescent="0.25">
      <c r="A62" t="s">
        <v>24</v>
      </c>
      <c r="E62" t="s">
        <v>948</v>
      </c>
      <c r="I62" t="s">
        <v>1085</v>
      </c>
      <c r="M62" t="s">
        <v>1209</v>
      </c>
      <c r="Q62" t="s">
        <v>1320</v>
      </c>
      <c r="U62" t="s">
        <v>1427</v>
      </c>
    </row>
    <row r="63" spans="1:21" x14ac:dyDescent="0.25">
      <c r="A63" t="s">
        <v>25</v>
      </c>
      <c r="E63" t="s">
        <v>36</v>
      </c>
      <c r="I63" t="s">
        <v>36</v>
      </c>
      <c r="M63" t="s">
        <v>24</v>
      </c>
      <c r="Q63" t="s">
        <v>36</v>
      </c>
      <c r="U63" t="s">
        <v>24</v>
      </c>
    </row>
    <row r="64" spans="1:21" x14ac:dyDescent="0.25">
      <c r="A64" t="s">
        <v>26</v>
      </c>
      <c r="E64" t="s">
        <v>37</v>
      </c>
      <c r="I64" t="s">
        <v>37</v>
      </c>
      <c r="M64" t="s">
        <v>25</v>
      </c>
      <c r="Q64" t="s">
        <v>37</v>
      </c>
      <c r="U64" t="s">
        <v>25</v>
      </c>
    </row>
    <row r="65" spans="1:21" x14ac:dyDescent="0.25">
      <c r="E65" t="s">
        <v>38</v>
      </c>
      <c r="I65" t="s">
        <v>38</v>
      </c>
      <c r="M65" t="s">
        <v>26</v>
      </c>
      <c r="Q65" t="s">
        <v>38</v>
      </c>
      <c r="U65" t="s">
        <v>26</v>
      </c>
    </row>
    <row r="66" spans="1:21" x14ac:dyDescent="0.25">
      <c r="A66" t="s">
        <v>8</v>
      </c>
    </row>
    <row r="67" spans="1:21" x14ac:dyDescent="0.25">
      <c r="A67" t="s">
        <v>9</v>
      </c>
      <c r="E67" t="s">
        <v>14</v>
      </c>
      <c r="I67" t="s">
        <v>14</v>
      </c>
      <c r="M67" t="s">
        <v>8</v>
      </c>
      <c r="Q67" t="s">
        <v>14</v>
      </c>
      <c r="U67" t="s">
        <v>8</v>
      </c>
    </row>
    <row r="68" spans="1:21" x14ac:dyDescent="0.25">
      <c r="A68" t="s">
        <v>828</v>
      </c>
      <c r="E68" t="s">
        <v>15</v>
      </c>
      <c r="I68" t="s">
        <v>15</v>
      </c>
      <c r="M68" t="s">
        <v>9</v>
      </c>
      <c r="Q68" t="s">
        <v>15</v>
      </c>
      <c r="U68" t="s">
        <v>9</v>
      </c>
    </row>
    <row r="69" spans="1:21" x14ac:dyDescent="0.25">
      <c r="A69" t="s">
        <v>28</v>
      </c>
      <c r="E69" t="s">
        <v>949</v>
      </c>
      <c r="I69" t="s">
        <v>1086</v>
      </c>
      <c r="M69" t="s">
        <v>1210</v>
      </c>
      <c r="Q69" t="s">
        <v>1321</v>
      </c>
      <c r="U69" t="s">
        <v>1428</v>
      </c>
    </row>
    <row r="70" spans="1:21" x14ac:dyDescent="0.25">
      <c r="A70" t="s">
        <v>829</v>
      </c>
      <c r="E70" t="s">
        <v>16</v>
      </c>
      <c r="I70" t="s">
        <v>16</v>
      </c>
      <c r="M70" t="s">
        <v>28</v>
      </c>
      <c r="Q70" t="s">
        <v>16</v>
      </c>
      <c r="U70" t="s">
        <v>28</v>
      </c>
    </row>
    <row r="71" spans="1:21" x14ac:dyDescent="0.25">
      <c r="A71" t="s">
        <v>30</v>
      </c>
      <c r="E71" t="s">
        <v>942</v>
      </c>
      <c r="I71" t="s">
        <v>1087</v>
      </c>
      <c r="M71" t="s">
        <v>1211</v>
      </c>
      <c r="Q71" t="s">
        <v>1322</v>
      </c>
      <c r="U71" t="s">
        <v>1429</v>
      </c>
    </row>
    <row r="72" spans="1:21" x14ac:dyDescent="0.25">
      <c r="A72" t="s">
        <v>31</v>
      </c>
      <c r="E72" t="s">
        <v>18</v>
      </c>
      <c r="I72" t="s">
        <v>18</v>
      </c>
      <c r="M72" t="s">
        <v>30</v>
      </c>
      <c r="Q72" t="s">
        <v>18</v>
      </c>
      <c r="U72" t="s">
        <v>30</v>
      </c>
    </row>
    <row r="73" spans="1:21" x14ac:dyDescent="0.25">
      <c r="A73" t="s">
        <v>32</v>
      </c>
      <c r="E73" t="s">
        <v>19</v>
      </c>
      <c r="I73" t="s">
        <v>19</v>
      </c>
      <c r="M73" t="s">
        <v>31</v>
      </c>
      <c r="Q73" t="s">
        <v>19</v>
      </c>
      <c r="U73" t="s">
        <v>31</v>
      </c>
    </row>
    <row r="74" spans="1:21" x14ac:dyDescent="0.25">
      <c r="A74" t="s">
        <v>830</v>
      </c>
      <c r="E74" t="s">
        <v>20</v>
      </c>
      <c r="I74" t="s">
        <v>20</v>
      </c>
      <c r="M74" t="s">
        <v>32</v>
      </c>
      <c r="Q74" t="s">
        <v>20</v>
      </c>
      <c r="U74" t="s">
        <v>32</v>
      </c>
    </row>
    <row r="75" spans="1:21" x14ac:dyDescent="0.25">
      <c r="A75" t="s">
        <v>34</v>
      </c>
      <c r="E75" t="s">
        <v>950</v>
      </c>
      <c r="I75" t="s">
        <v>1088</v>
      </c>
      <c r="M75" t="s">
        <v>1212</v>
      </c>
      <c r="Q75" t="s">
        <v>1323</v>
      </c>
      <c r="U75" t="s">
        <v>1430</v>
      </c>
    </row>
    <row r="76" spans="1:21" x14ac:dyDescent="0.25">
      <c r="A76" t="s">
        <v>831</v>
      </c>
      <c r="E76" t="s">
        <v>22</v>
      </c>
      <c r="I76" t="s">
        <v>22</v>
      </c>
      <c r="M76" t="s">
        <v>34</v>
      </c>
      <c r="Q76" t="s">
        <v>22</v>
      </c>
      <c r="U76" t="s">
        <v>34</v>
      </c>
    </row>
    <row r="77" spans="1:21" x14ac:dyDescent="0.25">
      <c r="A77" t="s">
        <v>36</v>
      </c>
      <c r="E77" t="s">
        <v>951</v>
      </c>
      <c r="I77" t="s">
        <v>1089</v>
      </c>
      <c r="M77" t="s">
        <v>1213</v>
      </c>
      <c r="Q77" t="s">
        <v>1324</v>
      </c>
      <c r="U77" t="s">
        <v>1431</v>
      </c>
    </row>
    <row r="78" spans="1:21" x14ac:dyDescent="0.25">
      <c r="A78" t="s">
        <v>37</v>
      </c>
      <c r="E78" t="s">
        <v>24</v>
      </c>
      <c r="I78" t="s">
        <v>24</v>
      </c>
      <c r="M78" t="s">
        <v>36</v>
      </c>
      <c r="Q78" t="s">
        <v>24</v>
      </c>
      <c r="U78" t="s">
        <v>36</v>
      </c>
    </row>
    <row r="79" spans="1:21" x14ac:dyDescent="0.25">
      <c r="A79" t="s">
        <v>38</v>
      </c>
      <c r="E79" t="s">
        <v>25</v>
      </c>
      <c r="I79" t="s">
        <v>25</v>
      </c>
      <c r="M79" t="s">
        <v>37</v>
      </c>
      <c r="Q79" t="s">
        <v>25</v>
      </c>
      <c r="U79" t="s">
        <v>37</v>
      </c>
    </row>
    <row r="80" spans="1:21" x14ac:dyDescent="0.25">
      <c r="E80" t="s">
        <v>26</v>
      </c>
      <c r="I80" t="s">
        <v>26</v>
      </c>
      <c r="M80" t="s">
        <v>38</v>
      </c>
      <c r="Q80" t="s">
        <v>26</v>
      </c>
      <c r="U80" t="s">
        <v>38</v>
      </c>
    </row>
    <row r="81" spans="1:21" x14ac:dyDescent="0.25">
      <c r="A81" t="s">
        <v>14</v>
      </c>
    </row>
    <row r="82" spans="1:21" x14ac:dyDescent="0.25">
      <c r="A82" t="s">
        <v>15</v>
      </c>
      <c r="E82" t="s">
        <v>8</v>
      </c>
      <c r="I82" t="s">
        <v>8</v>
      </c>
      <c r="M82" t="s">
        <v>14</v>
      </c>
      <c r="Q82" t="s">
        <v>8</v>
      </c>
      <c r="U82" t="s">
        <v>14</v>
      </c>
    </row>
    <row r="83" spans="1:21" x14ac:dyDescent="0.25">
      <c r="A83" t="s">
        <v>832</v>
      </c>
      <c r="E83" t="s">
        <v>9</v>
      </c>
      <c r="I83" t="s">
        <v>9</v>
      </c>
      <c r="M83" t="s">
        <v>15</v>
      </c>
      <c r="Q83" t="s">
        <v>9</v>
      </c>
      <c r="U83" t="s">
        <v>15</v>
      </c>
    </row>
    <row r="84" spans="1:21" x14ac:dyDescent="0.25">
      <c r="A84" t="s">
        <v>16</v>
      </c>
      <c r="E84" t="s">
        <v>952</v>
      </c>
      <c r="I84" t="s">
        <v>1090</v>
      </c>
      <c r="M84" t="s">
        <v>1214</v>
      </c>
      <c r="Q84" t="s">
        <v>1325</v>
      </c>
      <c r="U84" t="s">
        <v>1432</v>
      </c>
    </row>
    <row r="85" spans="1:21" x14ac:dyDescent="0.25">
      <c r="A85" t="s">
        <v>833</v>
      </c>
      <c r="E85" t="s">
        <v>28</v>
      </c>
      <c r="I85" t="s">
        <v>28</v>
      </c>
      <c r="M85" t="s">
        <v>16</v>
      </c>
      <c r="Q85" t="s">
        <v>28</v>
      </c>
      <c r="U85" t="s">
        <v>16</v>
      </c>
    </row>
    <row r="86" spans="1:21" x14ac:dyDescent="0.25">
      <c r="A86" t="s">
        <v>18</v>
      </c>
      <c r="E86" t="s">
        <v>953</v>
      </c>
      <c r="I86" t="s">
        <v>1091</v>
      </c>
      <c r="M86" t="s">
        <v>1215</v>
      </c>
      <c r="Q86" t="s">
        <v>1326</v>
      </c>
      <c r="U86" t="s">
        <v>1433</v>
      </c>
    </row>
    <row r="87" spans="1:21" x14ac:dyDescent="0.25">
      <c r="A87" t="s">
        <v>19</v>
      </c>
      <c r="E87" t="s">
        <v>30</v>
      </c>
      <c r="I87" t="s">
        <v>30</v>
      </c>
      <c r="M87" t="s">
        <v>18</v>
      </c>
      <c r="Q87" t="s">
        <v>30</v>
      </c>
      <c r="U87" t="s">
        <v>18</v>
      </c>
    </row>
    <row r="88" spans="1:21" x14ac:dyDescent="0.25">
      <c r="A88" t="s">
        <v>20</v>
      </c>
      <c r="E88" t="s">
        <v>31</v>
      </c>
      <c r="I88" t="s">
        <v>31</v>
      </c>
      <c r="M88" t="s">
        <v>19</v>
      </c>
      <c r="Q88" t="s">
        <v>31</v>
      </c>
      <c r="U88" t="s">
        <v>19</v>
      </c>
    </row>
    <row r="89" spans="1:21" x14ac:dyDescent="0.25">
      <c r="A89" t="s">
        <v>834</v>
      </c>
      <c r="E89" t="s">
        <v>32</v>
      </c>
      <c r="I89" t="s">
        <v>32</v>
      </c>
      <c r="M89" t="s">
        <v>20</v>
      </c>
      <c r="Q89" t="s">
        <v>32</v>
      </c>
      <c r="U89" t="s">
        <v>20</v>
      </c>
    </row>
    <row r="90" spans="1:21" x14ac:dyDescent="0.25">
      <c r="A90" t="s">
        <v>22</v>
      </c>
      <c r="E90" t="s">
        <v>914</v>
      </c>
      <c r="I90" t="s">
        <v>1092</v>
      </c>
      <c r="M90" t="s">
        <v>1216</v>
      </c>
      <c r="Q90" t="s">
        <v>1327</v>
      </c>
      <c r="U90" t="s">
        <v>1434</v>
      </c>
    </row>
    <row r="91" spans="1:21" x14ac:dyDescent="0.25">
      <c r="A91" t="s">
        <v>835</v>
      </c>
      <c r="E91" t="s">
        <v>34</v>
      </c>
      <c r="I91" t="s">
        <v>34</v>
      </c>
      <c r="M91" t="s">
        <v>22</v>
      </c>
      <c r="Q91" t="s">
        <v>34</v>
      </c>
      <c r="U91" t="s">
        <v>22</v>
      </c>
    </row>
    <row r="92" spans="1:21" x14ac:dyDescent="0.25">
      <c r="A92" t="s">
        <v>24</v>
      </c>
      <c r="E92" t="s">
        <v>915</v>
      </c>
      <c r="I92" t="s">
        <v>1093</v>
      </c>
      <c r="M92" t="s">
        <v>1217</v>
      </c>
      <c r="Q92" t="s">
        <v>1328</v>
      </c>
      <c r="U92" t="s">
        <v>1435</v>
      </c>
    </row>
    <row r="93" spans="1:21" x14ac:dyDescent="0.25">
      <c r="A93" t="s">
        <v>25</v>
      </c>
      <c r="E93" t="s">
        <v>36</v>
      </c>
      <c r="I93" t="s">
        <v>36</v>
      </c>
      <c r="M93" t="s">
        <v>24</v>
      </c>
      <c r="Q93" t="s">
        <v>36</v>
      </c>
      <c r="U93" t="s">
        <v>24</v>
      </c>
    </row>
    <row r="94" spans="1:21" x14ac:dyDescent="0.25">
      <c r="A94" t="s">
        <v>26</v>
      </c>
      <c r="E94" t="s">
        <v>37</v>
      </c>
      <c r="I94" t="s">
        <v>37</v>
      </c>
      <c r="M94" t="s">
        <v>25</v>
      </c>
      <c r="Q94" t="s">
        <v>37</v>
      </c>
      <c r="U94" t="s">
        <v>25</v>
      </c>
    </row>
    <row r="95" spans="1:21" x14ac:dyDescent="0.25">
      <c r="E95" t="s">
        <v>38</v>
      </c>
      <c r="I95" t="s">
        <v>38</v>
      </c>
      <c r="M95" t="s">
        <v>26</v>
      </c>
      <c r="Q95" t="s">
        <v>38</v>
      </c>
      <c r="U95" t="s">
        <v>26</v>
      </c>
    </row>
    <row r="96" spans="1:21" x14ac:dyDescent="0.25">
      <c r="A96" t="s">
        <v>8</v>
      </c>
    </row>
    <row r="97" spans="1:21" x14ac:dyDescent="0.25">
      <c r="A97" t="s">
        <v>9</v>
      </c>
      <c r="E97" t="s">
        <v>14</v>
      </c>
      <c r="I97" t="s">
        <v>14</v>
      </c>
      <c r="M97" t="s">
        <v>8</v>
      </c>
      <c r="Q97" t="s">
        <v>14</v>
      </c>
      <c r="U97" t="s">
        <v>8</v>
      </c>
    </row>
    <row r="98" spans="1:21" x14ac:dyDescent="0.25">
      <c r="A98" t="s">
        <v>836</v>
      </c>
      <c r="E98" t="s">
        <v>15</v>
      </c>
      <c r="I98" t="s">
        <v>15</v>
      </c>
      <c r="M98" t="s">
        <v>9</v>
      </c>
      <c r="Q98" t="s">
        <v>15</v>
      </c>
      <c r="U98" t="s">
        <v>9</v>
      </c>
    </row>
    <row r="99" spans="1:21" x14ac:dyDescent="0.25">
      <c r="A99" t="s">
        <v>28</v>
      </c>
      <c r="E99" t="s">
        <v>954</v>
      </c>
      <c r="I99" t="s">
        <v>1094</v>
      </c>
      <c r="M99" t="s">
        <v>1218</v>
      </c>
      <c r="Q99" t="s">
        <v>1329</v>
      </c>
      <c r="U99" t="s">
        <v>1436</v>
      </c>
    </row>
    <row r="100" spans="1:21" x14ac:dyDescent="0.25">
      <c r="A100" t="s">
        <v>829</v>
      </c>
      <c r="E100" t="s">
        <v>16</v>
      </c>
      <c r="I100" t="s">
        <v>16</v>
      </c>
      <c r="M100" t="s">
        <v>28</v>
      </c>
      <c r="Q100" t="s">
        <v>16</v>
      </c>
      <c r="U100" t="s">
        <v>28</v>
      </c>
    </row>
    <row r="101" spans="1:21" x14ac:dyDescent="0.25">
      <c r="A101" t="s">
        <v>30</v>
      </c>
      <c r="E101" t="s">
        <v>955</v>
      </c>
      <c r="I101" t="s">
        <v>1087</v>
      </c>
      <c r="M101" t="s">
        <v>1219</v>
      </c>
      <c r="Q101" t="s">
        <v>1322</v>
      </c>
      <c r="U101" t="s">
        <v>1437</v>
      </c>
    </row>
    <row r="102" spans="1:21" x14ac:dyDescent="0.25">
      <c r="A102" t="s">
        <v>31</v>
      </c>
      <c r="E102" t="s">
        <v>18</v>
      </c>
      <c r="I102" t="s">
        <v>18</v>
      </c>
      <c r="M102" t="s">
        <v>30</v>
      </c>
      <c r="Q102" t="s">
        <v>18</v>
      </c>
      <c r="U102" t="s">
        <v>30</v>
      </c>
    </row>
    <row r="103" spans="1:21" x14ac:dyDescent="0.25">
      <c r="A103" t="s">
        <v>32</v>
      </c>
      <c r="E103" t="s">
        <v>19</v>
      </c>
      <c r="I103" t="s">
        <v>19</v>
      </c>
      <c r="M103" t="s">
        <v>31</v>
      </c>
      <c r="Q103" t="s">
        <v>19</v>
      </c>
      <c r="U103" t="s">
        <v>31</v>
      </c>
    </row>
    <row r="104" spans="1:21" x14ac:dyDescent="0.25">
      <c r="A104" t="s">
        <v>837</v>
      </c>
      <c r="E104" t="s">
        <v>20</v>
      </c>
      <c r="I104" t="s">
        <v>20</v>
      </c>
      <c r="M104" t="s">
        <v>32</v>
      </c>
      <c r="Q104" t="s">
        <v>20</v>
      </c>
      <c r="U104" t="s">
        <v>32</v>
      </c>
    </row>
    <row r="105" spans="1:21" x14ac:dyDescent="0.25">
      <c r="A105" t="s">
        <v>34</v>
      </c>
      <c r="E105" t="s">
        <v>956</v>
      </c>
      <c r="I105" t="s">
        <v>1095</v>
      </c>
      <c r="M105" t="s">
        <v>1220</v>
      </c>
      <c r="Q105" t="s">
        <v>1330</v>
      </c>
      <c r="U105" t="s">
        <v>1438</v>
      </c>
    </row>
    <row r="106" spans="1:21" x14ac:dyDescent="0.25">
      <c r="A106" t="s">
        <v>368</v>
      </c>
      <c r="E106" t="s">
        <v>22</v>
      </c>
      <c r="I106" t="s">
        <v>22</v>
      </c>
      <c r="M106" t="s">
        <v>34</v>
      </c>
      <c r="Q106" t="s">
        <v>22</v>
      </c>
      <c r="U106" t="s">
        <v>34</v>
      </c>
    </row>
    <row r="107" spans="1:21" x14ac:dyDescent="0.25">
      <c r="A107" t="s">
        <v>36</v>
      </c>
      <c r="E107" t="s">
        <v>957</v>
      </c>
      <c r="I107" t="s">
        <v>1096</v>
      </c>
      <c r="M107" t="s">
        <v>1221</v>
      </c>
      <c r="Q107" t="s">
        <v>1331</v>
      </c>
      <c r="U107" t="s">
        <v>1439</v>
      </c>
    </row>
    <row r="108" spans="1:21" x14ac:dyDescent="0.25">
      <c r="A108" t="s">
        <v>37</v>
      </c>
      <c r="E108" t="s">
        <v>24</v>
      </c>
      <c r="I108" t="s">
        <v>24</v>
      </c>
      <c r="M108" t="s">
        <v>36</v>
      </c>
      <c r="Q108" t="s">
        <v>24</v>
      </c>
      <c r="U108" t="s">
        <v>36</v>
      </c>
    </row>
    <row r="109" spans="1:21" x14ac:dyDescent="0.25">
      <c r="A109" t="s">
        <v>38</v>
      </c>
      <c r="E109" t="s">
        <v>25</v>
      </c>
      <c r="I109" t="s">
        <v>25</v>
      </c>
      <c r="M109" t="s">
        <v>37</v>
      </c>
      <c r="Q109" t="s">
        <v>25</v>
      </c>
      <c r="U109" t="s">
        <v>37</v>
      </c>
    </row>
    <row r="110" spans="1:21" x14ac:dyDescent="0.25">
      <c r="E110" t="s">
        <v>26</v>
      </c>
      <c r="I110" t="s">
        <v>26</v>
      </c>
      <c r="M110" t="s">
        <v>38</v>
      </c>
      <c r="Q110" t="s">
        <v>26</v>
      </c>
      <c r="U110" t="s">
        <v>38</v>
      </c>
    </row>
    <row r="111" spans="1:21" x14ac:dyDescent="0.25">
      <c r="A111" t="s">
        <v>14</v>
      </c>
    </row>
    <row r="112" spans="1:21" x14ac:dyDescent="0.25">
      <c r="A112" t="s">
        <v>15</v>
      </c>
      <c r="E112" t="s">
        <v>8</v>
      </c>
      <c r="I112" t="s">
        <v>8</v>
      </c>
      <c r="M112" t="s">
        <v>14</v>
      </c>
      <c r="Q112" t="s">
        <v>8</v>
      </c>
      <c r="U112" t="s">
        <v>14</v>
      </c>
    </row>
    <row r="113" spans="1:21" x14ac:dyDescent="0.25">
      <c r="A113" t="s">
        <v>838</v>
      </c>
      <c r="E113" t="s">
        <v>9</v>
      </c>
      <c r="I113" t="s">
        <v>9</v>
      </c>
      <c r="M113" t="s">
        <v>15</v>
      </c>
      <c r="Q113" t="s">
        <v>9</v>
      </c>
      <c r="U113" t="s">
        <v>15</v>
      </c>
    </row>
    <row r="114" spans="1:21" x14ac:dyDescent="0.25">
      <c r="A114" t="s">
        <v>16</v>
      </c>
      <c r="E114" t="s">
        <v>958</v>
      </c>
      <c r="I114" t="s">
        <v>1097</v>
      </c>
      <c r="M114" t="s">
        <v>1222</v>
      </c>
      <c r="Q114" t="s">
        <v>1332</v>
      </c>
      <c r="U114" t="s">
        <v>1440</v>
      </c>
    </row>
    <row r="115" spans="1:21" x14ac:dyDescent="0.25">
      <c r="A115" t="s">
        <v>833</v>
      </c>
      <c r="E115" t="s">
        <v>28</v>
      </c>
      <c r="I115" t="s">
        <v>28</v>
      </c>
      <c r="M115" t="s">
        <v>16</v>
      </c>
      <c r="Q115" t="s">
        <v>28</v>
      </c>
      <c r="U115" t="s">
        <v>16</v>
      </c>
    </row>
    <row r="116" spans="1:21" x14ac:dyDescent="0.25">
      <c r="A116" t="s">
        <v>18</v>
      </c>
      <c r="E116" t="s">
        <v>959</v>
      </c>
      <c r="I116" t="s">
        <v>990</v>
      </c>
      <c r="M116" t="s">
        <v>1223</v>
      </c>
      <c r="Q116" t="s">
        <v>1333</v>
      </c>
      <c r="U116" t="s">
        <v>1441</v>
      </c>
    </row>
    <row r="117" spans="1:21" x14ac:dyDescent="0.25">
      <c r="A117" t="s">
        <v>19</v>
      </c>
      <c r="E117" t="s">
        <v>30</v>
      </c>
      <c r="I117" t="s">
        <v>30</v>
      </c>
      <c r="M117" t="s">
        <v>18</v>
      </c>
      <c r="Q117" t="s">
        <v>30</v>
      </c>
      <c r="U117" t="s">
        <v>18</v>
      </c>
    </row>
    <row r="118" spans="1:21" x14ac:dyDescent="0.25">
      <c r="A118" t="s">
        <v>20</v>
      </c>
      <c r="E118" t="s">
        <v>31</v>
      </c>
      <c r="I118" t="s">
        <v>31</v>
      </c>
      <c r="M118" t="s">
        <v>19</v>
      </c>
      <c r="Q118" t="s">
        <v>31</v>
      </c>
      <c r="U118" t="s">
        <v>19</v>
      </c>
    </row>
    <row r="119" spans="1:21" x14ac:dyDescent="0.25">
      <c r="A119" t="s">
        <v>839</v>
      </c>
      <c r="E119" t="s">
        <v>32</v>
      </c>
      <c r="I119" t="s">
        <v>32</v>
      </c>
      <c r="M119" t="s">
        <v>20</v>
      </c>
      <c r="Q119" t="s">
        <v>32</v>
      </c>
      <c r="U119" t="s">
        <v>20</v>
      </c>
    </row>
    <row r="120" spans="1:21" x14ac:dyDescent="0.25">
      <c r="A120" t="s">
        <v>22</v>
      </c>
      <c r="E120" t="s">
        <v>960</v>
      </c>
      <c r="I120" t="s">
        <v>1098</v>
      </c>
      <c r="M120" t="s">
        <v>1224</v>
      </c>
      <c r="Q120" t="s">
        <v>1334</v>
      </c>
      <c r="U120" t="s">
        <v>1442</v>
      </c>
    </row>
    <row r="121" spans="1:21" x14ac:dyDescent="0.25">
      <c r="A121" t="s">
        <v>840</v>
      </c>
      <c r="E121" t="s">
        <v>34</v>
      </c>
      <c r="I121" t="s">
        <v>34</v>
      </c>
      <c r="M121" t="s">
        <v>22</v>
      </c>
      <c r="Q121" t="s">
        <v>34</v>
      </c>
      <c r="U121" t="s">
        <v>22</v>
      </c>
    </row>
    <row r="122" spans="1:21" x14ac:dyDescent="0.25">
      <c r="A122" t="s">
        <v>24</v>
      </c>
      <c r="E122" t="s">
        <v>961</v>
      </c>
      <c r="I122" t="s">
        <v>1099</v>
      </c>
      <c r="M122" t="s">
        <v>1225</v>
      </c>
      <c r="Q122" t="s">
        <v>1335</v>
      </c>
      <c r="U122" t="s">
        <v>1443</v>
      </c>
    </row>
    <row r="123" spans="1:21" x14ac:dyDescent="0.25">
      <c r="A123" t="s">
        <v>25</v>
      </c>
      <c r="E123" t="s">
        <v>36</v>
      </c>
      <c r="I123" t="s">
        <v>36</v>
      </c>
      <c r="M123" t="s">
        <v>24</v>
      </c>
      <c r="Q123" t="s">
        <v>36</v>
      </c>
      <c r="U123" t="s">
        <v>24</v>
      </c>
    </row>
    <row r="124" spans="1:21" x14ac:dyDescent="0.25">
      <c r="A124" t="s">
        <v>26</v>
      </c>
      <c r="E124" t="s">
        <v>37</v>
      </c>
      <c r="I124" t="s">
        <v>37</v>
      </c>
      <c r="M124" t="s">
        <v>25</v>
      </c>
      <c r="Q124" t="s">
        <v>37</v>
      </c>
      <c r="U124" t="s">
        <v>25</v>
      </c>
    </row>
    <row r="125" spans="1:21" x14ac:dyDescent="0.25">
      <c r="E125" t="s">
        <v>38</v>
      </c>
      <c r="I125" t="s">
        <v>38</v>
      </c>
      <c r="M125" t="s">
        <v>26</v>
      </c>
      <c r="Q125" t="s">
        <v>38</v>
      </c>
      <c r="U125" t="s">
        <v>26</v>
      </c>
    </row>
    <row r="126" spans="1:21" x14ac:dyDescent="0.25">
      <c r="A126" t="s">
        <v>8</v>
      </c>
    </row>
    <row r="127" spans="1:21" x14ac:dyDescent="0.25">
      <c r="A127" t="s">
        <v>9</v>
      </c>
      <c r="E127" t="s">
        <v>14</v>
      </c>
      <c r="I127" t="s">
        <v>14</v>
      </c>
      <c r="M127" t="s">
        <v>8</v>
      </c>
      <c r="Q127" t="s">
        <v>14</v>
      </c>
      <c r="U127" t="s">
        <v>8</v>
      </c>
    </row>
    <row r="128" spans="1:21" x14ac:dyDescent="0.25">
      <c r="A128" t="s">
        <v>841</v>
      </c>
      <c r="E128" t="s">
        <v>15</v>
      </c>
      <c r="I128" t="s">
        <v>15</v>
      </c>
      <c r="M128" t="s">
        <v>9</v>
      </c>
      <c r="Q128" t="s">
        <v>15</v>
      </c>
      <c r="U128" t="s">
        <v>9</v>
      </c>
    </row>
    <row r="129" spans="1:21" x14ac:dyDescent="0.25">
      <c r="A129" t="s">
        <v>28</v>
      </c>
      <c r="E129" t="s">
        <v>962</v>
      </c>
      <c r="I129" t="s">
        <v>1100</v>
      </c>
      <c r="M129" t="s">
        <v>1226</v>
      </c>
      <c r="Q129" t="s">
        <v>1336</v>
      </c>
      <c r="U129" t="s">
        <v>1444</v>
      </c>
    </row>
    <row r="130" spans="1:21" x14ac:dyDescent="0.25">
      <c r="A130" t="s">
        <v>842</v>
      </c>
      <c r="E130" t="s">
        <v>16</v>
      </c>
      <c r="I130" t="s">
        <v>16</v>
      </c>
      <c r="M130" t="s">
        <v>28</v>
      </c>
      <c r="Q130" t="s">
        <v>16</v>
      </c>
      <c r="U130" t="s">
        <v>28</v>
      </c>
    </row>
    <row r="131" spans="1:21" x14ac:dyDescent="0.25">
      <c r="A131" t="s">
        <v>30</v>
      </c>
      <c r="E131" t="s">
        <v>963</v>
      </c>
      <c r="I131" t="s">
        <v>1101</v>
      </c>
      <c r="M131" t="s">
        <v>1227</v>
      </c>
      <c r="Q131" t="s">
        <v>1337</v>
      </c>
      <c r="U131" t="s">
        <v>1445</v>
      </c>
    </row>
    <row r="132" spans="1:21" x14ac:dyDescent="0.25">
      <c r="A132" t="s">
        <v>31</v>
      </c>
      <c r="E132" t="s">
        <v>18</v>
      </c>
      <c r="I132" t="s">
        <v>18</v>
      </c>
      <c r="M132" t="s">
        <v>30</v>
      </c>
      <c r="Q132" t="s">
        <v>18</v>
      </c>
      <c r="U132" t="s">
        <v>30</v>
      </c>
    </row>
    <row r="133" spans="1:21" x14ac:dyDescent="0.25">
      <c r="A133" t="s">
        <v>32</v>
      </c>
      <c r="E133" t="s">
        <v>19</v>
      </c>
      <c r="I133" t="s">
        <v>19</v>
      </c>
      <c r="M133" t="s">
        <v>31</v>
      </c>
      <c r="Q133" t="s">
        <v>19</v>
      </c>
      <c r="U133" t="s">
        <v>31</v>
      </c>
    </row>
    <row r="134" spans="1:21" x14ac:dyDescent="0.25">
      <c r="A134" t="s">
        <v>843</v>
      </c>
      <c r="E134" t="s">
        <v>20</v>
      </c>
      <c r="I134" t="s">
        <v>20</v>
      </c>
      <c r="M134" t="s">
        <v>32</v>
      </c>
      <c r="Q134" t="s">
        <v>20</v>
      </c>
      <c r="U134" t="s">
        <v>32</v>
      </c>
    </row>
    <row r="135" spans="1:21" x14ac:dyDescent="0.25">
      <c r="A135" t="s">
        <v>34</v>
      </c>
      <c r="E135" t="s">
        <v>964</v>
      </c>
      <c r="I135" t="s">
        <v>1102</v>
      </c>
      <c r="M135" t="s">
        <v>1228</v>
      </c>
      <c r="Q135" t="s">
        <v>1338</v>
      </c>
      <c r="U135" t="s">
        <v>1446</v>
      </c>
    </row>
    <row r="136" spans="1:21" x14ac:dyDescent="0.25">
      <c r="A136" t="s">
        <v>844</v>
      </c>
      <c r="E136" t="s">
        <v>22</v>
      </c>
      <c r="I136" t="s">
        <v>22</v>
      </c>
      <c r="M136" t="s">
        <v>34</v>
      </c>
      <c r="Q136" t="s">
        <v>22</v>
      </c>
      <c r="U136" t="s">
        <v>34</v>
      </c>
    </row>
    <row r="137" spans="1:21" x14ac:dyDescent="0.25">
      <c r="A137" t="s">
        <v>36</v>
      </c>
      <c r="E137" t="s">
        <v>965</v>
      </c>
      <c r="I137" t="s">
        <v>1103</v>
      </c>
      <c r="M137" t="s">
        <v>1229</v>
      </c>
      <c r="Q137" t="s">
        <v>1339</v>
      </c>
      <c r="U137" t="s">
        <v>1447</v>
      </c>
    </row>
    <row r="138" spans="1:21" x14ac:dyDescent="0.25">
      <c r="A138" t="s">
        <v>37</v>
      </c>
      <c r="E138" t="s">
        <v>24</v>
      </c>
      <c r="I138" t="s">
        <v>24</v>
      </c>
      <c r="M138" t="s">
        <v>36</v>
      </c>
      <c r="Q138" t="s">
        <v>24</v>
      </c>
      <c r="U138" t="s">
        <v>36</v>
      </c>
    </row>
    <row r="139" spans="1:21" x14ac:dyDescent="0.25">
      <c r="A139" t="s">
        <v>38</v>
      </c>
      <c r="E139" t="s">
        <v>25</v>
      </c>
      <c r="I139" t="s">
        <v>25</v>
      </c>
      <c r="M139" t="s">
        <v>37</v>
      </c>
      <c r="Q139" t="s">
        <v>25</v>
      </c>
      <c r="U139" t="s">
        <v>37</v>
      </c>
    </row>
    <row r="140" spans="1:21" x14ac:dyDescent="0.25">
      <c r="E140" t="s">
        <v>26</v>
      </c>
      <c r="I140" t="s">
        <v>26</v>
      </c>
      <c r="M140" t="s">
        <v>38</v>
      </c>
      <c r="Q140" t="s">
        <v>26</v>
      </c>
      <c r="U140" t="s">
        <v>38</v>
      </c>
    </row>
    <row r="141" spans="1:21" x14ac:dyDescent="0.25">
      <c r="A141" t="s">
        <v>14</v>
      </c>
    </row>
    <row r="142" spans="1:21" x14ac:dyDescent="0.25">
      <c r="A142" t="s">
        <v>15</v>
      </c>
      <c r="E142" t="s">
        <v>8</v>
      </c>
      <c r="I142" t="s">
        <v>8</v>
      </c>
      <c r="M142" t="s">
        <v>14</v>
      </c>
      <c r="Q142" t="s">
        <v>8</v>
      </c>
      <c r="U142" t="s">
        <v>14</v>
      </c>
    </row>
    <row r="143" spans="1:21" x14ac:dyDescent="0.25">
      <c r="A143" t="s">
        <v>845</v>
      </c>
      <c r="E143" t="s">
        <v>9</v>
      </c>
      <c r="I143" t="s">
        <v>9</v>
      </c>
      <c r="M143" t="s">
        <v>15</v>
      </c>
      <c r="Q143" t="s">
        <v>9</v>
      </c>
      <c r="U143" t="s">
        <v>15</v>
      </c>
    </row>
    <row r="144" spans="1:21" x14ac:dyDescent="0.25">
      <c r="A144" t="s">
        <v>16</v>
      </c>
      <c r="E144" t="s">
        <v>966</v>
      </c>
      <c r="I144" t="s">
        <v>1104</v>
      </c>
      <c r="M144" t="s">
        <v>1230</v>
      </c>
      <c r="Q144" t="s">
        <v>1340</v>
      </c>
      <c r="U144" t="s">
        <v>1448</v>
      </c>
    </row>
    <row r="145" spans="1:21" x14ac:dyDescent="0.25">
      <c r="A145" t="s">
        <v>846</v>
      </c>
      <c r="E145" t="s">
        <v>28</v>
      </c>
      <c r="I145" t="s">
        <v>28</v>
      </c>
      <c r="M145" t="s">
        <v>16</v>
      </c>
      <c r="Q145" t="s">
        <v>28</v>
      </c>
      <c r="U145" t="s">
        <v>16</v>
      </c>
    </row>
    <row r="146" spans="1:21" x14ac:dyDescent="0.25">
      <c r="A146" t="s">
        <v>18</v>
      </c>
      <c r="E146" t="s">
        <v>959</v>
      </c>
      <c r="I146" t="s">
        <v>946</v>
      </c>
      <c r="M146" t="s">
        <v>1231</v>
      </c>
      <c r="Q146" t="s">
        <v>1341</v>
      </c>
      <c r="U146" t="s">
        <v>1449</v>
      </c>
    </row>
    <row r="147" spans="1:21" x14ac:dyDescent="0.25">
      <c r="A147" t="s">
        <v>19</v>
      </c>
      <c r="E147" t="s">
        <v>30</v>
      </c>
      <c r="I147" t="s">
        <v>30</v>
      </c>
      <c r="M147" t="s">
        <v>18</v>
      </c>
      <c r="Q147" t="s">
        <v>30</v>
      </c>
      <c r="U147" t="s">
        <v>18</v>
      </c>
    </row>
    <row r="148" spans="1:21" x14ac:dyDescent="0.25">
      <c r="A148" t="s">
        <v>20</v>
      </c>
      <c r="E148" t="s">
        <v>31</v>
      </c>
      <c r="I148" t="s">
        <v>31</v>
      </c>
      <c r="M148" t="s">
        <v>19</v>
      </c>
      <c r="Q148" t="s">
        <v>31</v>
      </c>
      <c r="U148" t="s">
        <v>19</v>
      </c>
    </row>
    <row r="149" spans="1:21" x14ac:dyDescent="0.25">
      <c r="A149" t="s">
        <v>847</v>
      </c>
      <c r="E149" t="s">
        <v>32</v>
      </c>
      <c r="I149" t="s">
        <v>32</v>
      </c>
      <c r="M149" t="s">
        <v>20</v>
      </c>
      <c r="Q149" t="s">
        <v>32</v>
      </c>
      <c r="U149" t="s">
        <v>20</v>
      </c>
    </row>
    <row r="150" spans="1:21" x14ac:dyDescent="0.25">
      <c r="A150" t="s">
        <v>22</v>
      </c>
      <c r="E150" t="s">
        <v>967</v>
      </c>
      <c r="I150" t="s">
        <v>1105</v>
      </c>
      <c r="M150" t="s">
        <v>1232</v>
      </c>
      <c r="Q150" t="s">
        <v>1342</v>
      </c>
      <c r="U150" t="s">
        <v>956</v>
      </c>
    </row>
    <row r="151" spans="1:21" x14ac:dyDescent="0.25">
      <c r="A151" t="s">
        <v>848</v>
      </c>
      <c r="E151" t="s">
        <v>34</v>
      </c>
      <c r="I151" t="s">
        <v>34</v>
      </c>
      <c r="M151" t="s">
        <v>22</v>
      </c>
      <c r="Q151" t="s">
        <v>34</v>
      </c>
      <c r="U151" t="s">
        <v>22</v>
      </c>
    </row>
    <row r="152" spans="1:21" x14ac:dyDescent="0.25">
      <c r="A152" t="s">
        <v>24</v>
      </c>
      <c r="E152" t="s">
        <v>968</v>
      </c>
      <c r="I152" t="s">
        <v>1106</v>
      </c>
      <c r="M152" t="s">
        <v>1233</v>
      </c>
      <c r="Q152" t="s">
        <v>1343</v>
      </c>
      <c r="U152" t="s">
        <v>957</v>
      </c>
    </row>
    <row r="153" spans="1:21" x14ac:dyDescent="0.25">
      <c r="A153" t="s">
        <v>25</v>
      </c>
      <c r="E153" t="s">
        <v>36</v>
      </c>
      <c r="I153" t="s">
        <v>36</v>
      </c>
      <c r="M153" t="s">
        <v>24</v>
      </c>
      <c r="Q153" t="s">
        <v>36</v>
      </c>
      <c r="U153" t="s">
        <v>24</v>
      </c>
    </row>
    <row r="154" spans="1:21" x14ac:dyDescent="0.25">
      <c r="A154" t="s">
        <v>26</v>
      </c>
      <c r="E154" t="s">
        <v>37</v>
      </c>
      <c r="I154" t="s">
        <v>37</v>
      </c>
      <c r="M154" t="s">
        <v>25</v>
      </c>
      <c r="Q154" t="s">
        <v>37</v>
      </c>
      <c r="U154" t="s">
        <v>25</v>
      </c>
    </row>
    <row r="155" spans="1:21" x14ac:dyDescent="0.25">
      <c r="E155" t="s">
        <v>38</v>
      </c>
      <c r="I155" t="s">
        <v>38</v>
      </c>
      <c r="M155" t="s">
        <v>26</v>
      </c>
      <c r="Q155" t="s">
        <v>38</v>
      </c>
      <c r="U155" t="s">
        <v>26</v>
      </c>
    </row>
    <row r="156" spans="1:21" x14ac:dyDescent="0.25">
      <c r="A156" t="s">
        <v>8</v>
      </c>
    </row>
    <row r="157" spans="1:21" x14ac:dyDescent="0.25">
      <c r="A157" t="s">
        <v>9</v>
      </c>
      <c r="E157" t="s">
        <v>14</v>
      </c>
      <c r="I157" t="s">
        <v>14</v>
      </c>
      <c r="M157" t="s">
        <v>8</v>
      </c>
      <c r="Q157" t="s">
        <v>14</v>
      </c>
      <c r="U157" t="s">
        <v>8</v>
      </c>
    </row>
    <row r="158" spans="1:21" x14ac:dyDescent="0.25">
      <c r="A158" t="s">
        <v>849</v>
      </c>
      <c r="E158" t="s">
        <v>15</v>
      </c>
      <c r="I158" t="s">
        <v>15</v>
      </c>
      <c r="M158" t="s">
        <v>9</v>
      </c>
      <c r="Q158" t="s">
        <v>15</v>
      </c>
      <c r="U158" t="s">
        <v>9</v>
      </c>
    </row>
    <row r="159" spans="1:21" x14ac:dyDescent="0.25">
      <c r="A159" t="s">
        <v>28</v>
      </c>
      <c r="E159" t="s">
        <v>969</v>
      </c>
      <c r="I159" t="s">
        <v>1107</v>
      </c>
      <c r="M159" t="s">
        <v>1234</v>
      </c>
      <c r="Q159" t="s">
        <v>1344</v>
      </c>
      <c r="U159" t="s">
        <v>1450</v>
      </c>
    </row>
    <row r="160" spans="1:21" x14ac:dyDescent="0.25">
      <c r="A160" t="s">
        <v>821</v>
      </c>
      <c r="E160" t="s">
        <v>16</v>
      </c>
      <c r="I160" t="s">
        <v>16</v>
      </c>
      <c r="M160" t="s">
        <v>28</v>
      </c>
      <c r="Q160" t="s">
        <v>16</v>
      </c>
      <c r="U160" t="s">
        <v>28</v>
      </c>
    </row>
    <row r="161" spans="1:21" x14ac:dyDescent="0.25">
      <c r="A161" t="s">
        <v>30</v>
      </c>
      <c r="E161" t="s">
        <v>970</v>
      </c>
      <c r="I161" t="s">
        <v>1108</v>
      </c>
      <c r="M161" t="s">
        <v>1235</v>
      </c>
      <c r="Q161" t="s">
        <v>1207</v>
      </c>
      <c r="U161" t="s">
        <v>1411</v>
      </c>
    </row>
    <row r="162" spans="1:21" x14ac:dyDescent="0.25">
      <c r="A162" t="s">
        <v>31</v>
      </c>
      <c r="E162" t="s">
        <v>18</v>
      </c>
      <c r="I162" t="s">
        <v>18</v>
      </c>
      <c r="M162" t="s">
        <v>30</v>
      </c>
      <c r="Q162" t="s">
        <v>18</v>
      </c>
      <c r="U162" t="s">
        <v>30</v>
      </c>
    </row>
    <row r="163" spans="1:21" x14ac:dyDescent="0.25">
      <c r="A163" t="s">
        <v>32</v>
      </c>
      <c r="E163" t="s">
        <v>19</v>
      </c>
      <c r="I163" t="s">
        <v>19</v>
      </c>
      <c r="M163" t="s">
        <v>31</v>
      </c>
      <c r="Q163" t="s">
        <v>19</v>
      </c>
      <c r="U163" t="s">
        <v>31</v>
      </c>
    </row>
    <row r="164" spans="1:21" x14ac:dyDescent="0.25">
      <c r="A164" t="s">
        <v>850</v>
      </c>
      <c r="E164" t="s">
        <v>20</v>
      </c>
      <c r="I164" t="s">
        <v>20</v>
      </c>
      <c r="M164" t="s">
        <v>32</v>
      </c>
      <c r="Q164" t="s">
        <v>20</v>
      </c>
      <c r="U164" t="s">
        <v>32</v>
      </c>
    </row>
    <row r="165" spans="1:21" x14ac:dyDescent="0.25">
      <c r="A165" t="s">
        <v>34</v>
      </c>
      <c r="E165" t="s">
        <v>971</v>
      </c>
      <c r="I165" t="s">
        <v>1109</v>
      </c>
      <c r="M165" t="s">
        <v>1236</v>
      </c>
      <c r="Q165" t="s">
        <v>1345</v>
      </c>
      <c r="U165" t="s">
        <v>1451</v>
      </c>
    </row>
    <row r="166" spans="1:21" x14ac:dyDescent="0.25">
      <c r="A166" t="s">
        <v>851</v>
      </c>
      <c r="E166" t="s">
        <v>22</v>
      </c>
      <c r="I166" t="s">
        <v>22</v>
      </c>
      <c r="M166" t="s">
        <v>34</v>
      </c>
      <c r="Q166" t="s">
        <v>22</v>
      </c>
      <c r="U166" t="s">
        <v>34</v>
      </c>
    </row>
    <row r="167" spans="1:21" x14ac:dyDescent="0.25">
      <c r="A167" t="s">
        <v>36</v>
      </c>
      <c r="E167" t="s">
        <v>972</v>
      </c>
      <c r="I167" t="s">
        <v>1110</v>
      </c>
      <c r="M167" t="s">
        <v>1237</v>
      </c>
      <c r="Q167" t="s">
        <v>1346</v>
      </c>
      <c r="U167" t="s">
        <v>1452</v>
      </c>
    </row>
    <row r="168" spans="1:21" x14ac:dyDescent="0.25">
      <c r="A168" t="s">
        <v>37</v>
      </c>
      <c r="E168" t="s">
        <v>24</v>
      </c>
      <c r="I168" t="s">
        <v>24</v>
      </c>
      <c r="M168" t="s">
        <v>36</v>
      </c>
      <c r="Q168" t="s">
        <v>24</v>
      </c>
      <c r="U168" t="s">
        <v>36</v>
      </c>
    </row>
    <row r="169" spans="1:21" x14ac:dyDescent="0.25">
      <c r="A169" t="s">
        <v>38</v>
      </c>
      <c r="E169" t="s">
        <v>25</v>
      </c>
      <c r="I169" t="s">
        <v>25</v>
      </c>
      <c r="M169" t="s">
        <v>37</v>
      </c>
      <c r="Q169" t="s">
        <v>25</v>
      </c>
      <c r="U169" t="s">
        <v>37</v>
      </c>
    </row>
    <row r="170" spans="1:21" x14ac:dyDescent="0.25">
      <c r="E170" t="s">
        <v>26</v>
      </c>
      <c r="I170" t="s">
        <v>26</v>
      </c>
      <c r="M170" t="s">
        <v>38</v>
      </c>
      <c r="Q170" t="s">
        <v>26</v>
      </c>
      <c r="U170" t="s">
        <v>38</v>
      </c>
    </row>
    <row r="171" spans="1:21" x14ac:dyDescent="0.25">
      <c r="A171" t="s">
        <v>14</v>
      </c>
    </row>
    <row r="172" spans="1:21" x14ac:dyDescent="0.25">
      <c r="A172" t="s">
        <v>15</v>
      </c>
      <c r="E172" t="s">
        <v>8</v>
      </c>
      <c r="I172" t="s">
        <v>8</v>
      </c>
      <c r="M172" t="s">
        <v>14</v>
      </c>
      <c r="Q172" t="s">
        <v>8</v>
      </c>
      <c r="U172" t="s">
        <v>14</v>
      </c>
    </row>
    <row r="173" spans="1:21" x14ac:dyDescent="0.25">
      <c r="A173" t="s">
        <v>852</v>
      </c>
      <c r="E173" t="s">
        <v>9</v>
      </c>
      <c r="I173" t="s">
        <v>9</v>
      </c>
      <c r="M173" t="s">
        <v>15</v>
      </c>
      <c r="Q173" t="s">
        <v>9</v>
      </c>
      <c r="U173" t="s">
        <v>15</v>
      </c>
    </row>
    <row r="174" spans="1:21" x14ac:dyDescent="0.25">
      <c r="A174" t="s">
        <v>16</v>
      </c>
      <c r="E174" t="s">
        <v>973</v>
      </c>
      <c r="I174" t="s">
        <v>1111</v>
      </c>
      <c r="M174" t="s">
        <v>1238</v>
      </c>
      <c r="Q174" t="s">
        <v>1347</v>
      </c>
      <c r="U174" t="s">
        <v>1453</v>
      </c>
    </row>
    <row r="175" spans="1:21" x14ac:dyDescent="0.25">
      <c r="A175" t="s">
        <v>853</v>
      </c>
      <c r="E175" t="s">
        <v>28</v>
      </c>
      <c r="I175" t="s">
        <v>28</v>
      </c>
      <c r="M175" t="s">
        <v>16</v>
      </c>
      <c r="Q175" t="s">
        <v>28</v>
      </c>
      <c r="U175" t="s">
        <v>16</v>
      </c>
    </row>
    <row r="176" spans="1:21" x14ac:dyDescent="0.25">
      <c r="A176" t="s">
        <v>18</v>
      </c>
      <c r="E176" t="s">
        <v>974</v>
      </c>
      <c r="I176" t="s">
        <v>1112</v>
      </c>
      <c r="M176" t="s">
        <v>1239</v>
      </c>
      <c r="Q176" t="s">
        <v>1348</v>
      </c>
      <c r="U176" t="s">
        <v>1454</v>
      </c>
    </row>
    <row r="177" spans="1:21" x14ac:dyDescent="0.25">
      <c r="A177" t="s">
        <v>19</v>
      </c>
      <c r="E177" t="s">
        <v>30</v>
      </c>
      <c r="I177" t="s">
        <v>30</v>
      </c>
      <c r="M177" t="s">
        <v>18</v>
      </c>
      <c r="Q177" t="s">
        <v>30</v>
      </c>
      <c r="U177" t="s">
        <v>18</v>
      </c>
    </row>
    <row r="178" spans="1:21" x14ac:dyDescent="0.25">
      <c r="A178" t="s">
        <v>20</v>
      </c>
      <c r="E178" t="s">
        <v>31</v>
      </c>
      <c r="I178" t="s">
        <v>31</v>
      </c>
      <c r="M178" t="s">
        <v>19</v>
      </c>
      <c r="Q178" t="s">
        <v>31</v>
      </c>
      <c r="U178" t="s">
        <v>19</v>
      </c>
    </row>
    <row r="179" spans="1:21" x14ac:dyDescent="0.25">
      <c r="A179" t="s">
        <v>854</v>
      </c>
      <c r="E179" t="s">
        <v>32</v>
      </c>
      <c r="I179" t="s">
        <v>32</v>
      </c>
      <c r="M179" t="s">
        <v>20</v>
      </c>
      <c r="Q179" t="s">
        <v>32</v>
      </c>
      <c r="U179" t="s">
        <v>20</v>
      </c>
    </row>
    <row r="180" spans="1:21" x14ac:dyDescent="0.25">
      <c r="A180" t="s">
        <v>22</v>
      </c>
      <c r="E180" t="s">
        <v>975</v>
      </c>
      <c r="I180" t="s">
        <v>1113</v>
      </c>
      <c r="M180" t="s">
        <v>1240</v>
      </c>
      <c r="Q180" t="s">
        <v>1349</v>
      </c>
      <c r="U180" t="s">
        <v>1455</v>
      </c>
    </row>
    <row r="181" spans="1:21" x14ac:dyDescent="0.25">
      <c r="A181" t="s">
        <v>855</v>
      </c>
      <c r="E181" t="s">
        <v>34</v>
      </c>
      <c r="I181" t="s">
        <v>34</v>
      </c>
      <c r="M181" t="s">
        <v>22</v>
      </c>
      <c r="Q181" t="s">
        <v>34</v>
      </c>
      <c r="U181" t="s">
        <v>22</v>
      </c>
    </row>
    <row r="182" spans="1:21" x14ac:dyDescent="0.25">
      <c r="A182" t="s">
        <v>24</v>
      </c>
      <c r="E182" t="s">
        <v>976</v>
      </c>
      <c r="I182" t="s">
        <v>1114</v>
      </c>
      <c r="M182" t="s">
        <v>1241</v>
      </c>
      <c r="Q182" t="s">
        <v>1350</v>
      </c>
      <c r="U182" t="s">
        <v>1456</v>
      </c>
    </row>
    <row r="183" spans="1:21" x14ac:dyDescent="0.25">
      <c r="A183" t="s">
        <v>25</v>
      </c>
      <c r="E183" t="s">
        <v>36</v>
      </c>
      <c r="I183" t="s">
        <v>36</v>
      </c>
      <c r="M183" t="s">
        <v>24</v>
      </c>
      <c r="Q183" t="s">
        <v>36</v>
      </c>
      <c r="U183" t="s">
        <v>24</v>
      </c>
    </row>
    <row r="184" spans="1:21" x14ac:dyDescent="0.25">
      <c r="A184" t="s">
        <v>26</v>
      </c>
      <c r="E184" t="s">
        <v>37</v>
      </c>
      <c r="I184" t="s">
        <v>37</v>
      </c>
      <c r="M184" t="s">
        <v>25</v>
      </c>
      <c r="Q184" t="s">
        <v>37</v>
      </c>
      <c r="U184" t="s">
        <v>25</v>
      </c>
    </row>
    <row r="185" spans="1:21" x14ac:dyDescent="0.25">
      <c r="E185" t="s">
        <v>38</v>
      </c>
      <c r="I185" t="s">
        <v>38</v>
      </c>
      <c r="M185" t="s">
        <v>26</v>
      </c>
      <c r="Q185" t="s">
        <v>38</v>
      </c>
      <c r="U185" t="s">
        <v>26</v>
      </c>
    </row>
    <row r="186" spans="1:21" x14ac:dyDescent="0.25">
      <c r="A186" t="s">
        <v>8</v>
      </c>
    </row>
    <row r="187" spans="1:21" x14ac:dyDescent="0.25">
      <c r="A187" t="s">
        <v>9</v>
      </c>
      <c r="E187" t="s">
        <v>14</v>
      </c>
      <c r="I187" t="s">
        <v>14</v>
      </c>
      <c r="M187" t="s">
        <v>8</v>
      </c>
      <c r="Q187" t="s">
        <v>14</v>
      </c>
      <c r="U187" t="s">
        <v>8</v>
      </c>
    </row>
    <row r="188" spans="1:21" x14ac:dyDescent="0.25">
      <c r="A188" t="s">
        <v>856</v>
      </c>
      <c r="E188" t="s">
        <v>15</v>
      </c>
      <c r="I188" t="s">
        <v>15</v>
      </c>
      <c r="M188" t="s">
        <v>9</v>
      </c>
      <c r="Q188" t="s">
        <v>15</v>
      </c>
      <c r="U188" t="s">
        <v>9</v>
      </c>
    </row>
    <row r="189" spans="1:21" x14ac:dyDescent="0.25">
      <c r="A189" t="s">
        <v>28</v>
      </c>
      <c r="E189" t="s">
        <v>977</v>
      </c>
      <c r="I189" t="s">
        <v>1115</v>
      </c>
      <c r="M189" t="s">
        <v>1242</v>
      </c>
      <c r="Q189" t="s">
        <v>1351</v>
      </c>
      <c r="U189" t="s">
        <v>1457</v>
      </c>
    </row>
    <row r="190" spans="1:21" x14ac:dyDescent="0.25">
      <c r="A190" t="s">
        <v>857</v>
      </c>
      <c r="E190" t="s">
        <v>16</v>
      </c>
      <c r="I190" t="s">
        <v>16</v>
      </c>
      <c r="M190" t="s">
        <v>28</v>
      </c>
      <c r="Q190" t="s">
        <v>16</v>
      </c>
      <c r="U190" t="s">
        <v>28</v>
      </c>
    </row>
    <row r="191" spans="1:21" x14ac:dyDescent="0.25">
      <c r="A191" t="s">
        <v>30</v>
      </c>
      <c r="E191" t="s">
        <v>978</v>
      </c>
      <c r="I191" t="s">
        <v>1116</v>
      </c>
      <c r="M191" t="s">
        <v>1243</v>
      </c>
      <c r="Q191" t="s">
        <v>1322</v>
      </c>
      <c r="U191" t="s">
        <v>1391</v>
      </c>
    </row>
    <row r="192" spans="1:21" x14ac:dyDescent="0.25">
      <c r="A192" t="s">
        <v>31</v>
      </c>
      <c r="E192" t="s">
        <v>18</v>
      </c>
      <c r="I192" t="s">
        <v>18</v>
      </c>
      <c r="M192" t="s">
        <v>30</v>
      </c>
      <c r="Q192" t="s">
        <v>18</v>
      </c>
      <c r="U192" t="s">
        <v>30</v>
      </c>
    </row>
    <row r="193" spans="1:21" x14ac:dyDescent="0.25">
      <c r="A193" t="s">
        <v>32</v>
      </c>
      <c r="E193" t="s">
        <v>19</v>
      </c>
      <c r="I193" t="s">
        <v>19</v>
      </c>
      <c r="M193" t="s">
        <v>31</v>
      </c>
      <c r="Q193" t="s">
        <v>19</v>
      </c>
      <c r="U193" t="s">
        <v>31</v>
      </c>
    </row>
    <row r="194" spans="1:21" x14ac:dyDescent="0.25">
      <c r="A194" t="s">
        <v>858</v>
      </c>
      <c r="E194" t="s">
        <v>20</v>
      </c>
      <c r="I194" t="s">
        <v>20</v>
      </c>
      <c r="M194" t="s">
        <v>32</v>
      </c>
      <c r="Q194" t="s">
        <v>20</v>
      </c>
      <c r="U194" t="s">
        <v>32</v>
      </c>
    </row>
    <row r="195" spans="1:21" x14ac:dyDescent="0.25">
      <c r="A195" t="s">
        <v>34</v>
      </c>
      <c r="E195" t="s">
        <v>979</v>
      </c>
      <c r="I195" t="s">
        <v>1117</v>
      </c>
      <c r="M195" t="s">
        <v>1244</v>
      </c>
      <c r="Q195" t="s">
        <v>1352</v>
      </c>
      <c r="U195" t="s">
        <v>1458</v>
      </c>
    </row>
    <row r="196" spans="1:21" x14ac:dyDescent="0.25">
      <c r="A196" t="s">
        <v>859</v>
      </c>
      <c r="E196" t="s">
        <v>22</v>
      </c>
      <c r="I196" t="s">
        <v>22</v>
      </c>
      <c r="M196" t="s">
        <v>34</v>
      </c>
      <c r="Q196" t="s">
        <v>22</v>
      </c>
      <c r="U196" t="s">
        <v>34</v>
      </c>
    </row>
    <row r="197" spans="1:21" x14ac:dyDescent="0.25">
      <c r="A197" t="s">
        <v>36</v>
      </c>
      <c r="E197" t="s">
        <v>980</v>
      </c>
      <c r="I197" t="s">
        <v>1118</v>
      </c>
      <c r="M197" t="s">
        <v>1245</v>
      </c>
      <c r="Q197" t="s">
        <v>1353</v>
      </c>
      <c r="U197" t="s">
        <v>1459</v>
      </c>
    </row>
    <row r="198" spans="1:21" x14ac:dyDescent="0.25">
      <c r="A198" t="s">
        <v>37</v>
      </c>
      <c r="E198" t="s">
        <v>24</v>
      </c>
      <c r="I198" t="s">
        <v>24</v>
      </c>
      <c r="M198" t="s">
        <v>36</v>
      </c>
      <c r="Q198" t="s">
        <v>24</v>
      </c>
      <c r="U198" t="s">
        <v>36</v>
      </c>
    </row>
    <row r="199" spans="1:21" x14ac:dyDescent="0.25">
      <c r="A199" t="s">
        <v>38</v>
      </c>
      <c r="E199" t="s">
        <v>25</v>
      </c>
      <c r="I199" t="s">
        <v>25</v>
      </c>
      <c r="M199" t="s">
        <v>37</v>
      </c>
      <c r="Q199" t="s">
        <v>25</v>
      </c>
      <c r="U199" t="s">
        <v>37</v>
      </c>
    </row>
    <row r="200" spans="1:21" x14ac:dyDescent="0.25">
      <c r="E200" t="s">
        <v>26</v>
      </c>
      <c r="I200" t="s">
        <v>26</v>
      </c>
      <c r="M200" t="s">
        <v>38</v>
      </c>
      <c r="Q200" t="s">
        <v>26</v>
      </c>
      <c r="U200" t="s">
        <v>38</v>
      </c>
    </row>
    <row r="201" spans="1:21" x14ac:dyDescent="0.25">
      <c r="A201" t="s">
        <v>14</v>
      </c>
    </row>
    <row r="202" spans="1:21" x14ac:dyDescent="0.25">
      <c r="A202" t="s">
        <v>15</v>
      </c>
      <c r="E202" t="s">
        <v>8</v>
      </c>
      <c r="I202" t="s">
        <v>8</v>
      </c>
      <c r="M202" t="s">
        <v>14</v>
      </c>
      <c r="Q202" t="s">
        <v>8</v>
      </c>
      <c r="U202" t="s">
        <v>14</v>
      </c>
    </row>
    <row r="203" spans="1:21" x14ac:dyDescent="0.25">
      <c r="A203" t="s">
        <v>860</v>
      </c>
      <c r="E203" t="s">
        <v>9</v>
      </c>
      <c r="I203" t="s">
        <v>9</v>
      </c>
      <c r="M203" t="s">
        <v>15</v>
      </c>
      <c r="Q203" t="s">
        <v>9</v>
      </c>
      <c r="U203" t="s">
        <v>15</v>
      </c>
    </row>
    <row r="204" spans="1:21" x14ac:dyDescent="0.25">
      <c r="A204" t="s">
        <v>16</v>
      </c>
      <c r="E204" t="s">
        <v>981</v>
      </c>
      <c r="I204" t="s">
        <v>1119</v>
      </c>
      <c r="M204" t="s">
        <v>1246</v>
      </c>
      <c r="Q204" t="s">
        <v>1354</v>
      </c>
      <c r="U204" t="s">
        <v>1460</v>
      </c>
    </row>
    <row r="205" spans="1:21" x14ac:dyDescent="0.25">
      <c r="A205" t="s">
        <v>861</v>
      </c>
      <c r="E205" t="s">
        <v>28</v>
      </c>
      <c r="I205" t="s">
        <v>28</v>
      </c>
      <c r="M205" t="s">
        <v>16</v>
      </c>
      <c r="Q205" t="s">
        <v>28</v>
      </c>
      <c r="U205" t="s">
        <v>16</v>
      </c>
    </row>
    <row r="206" spans="1:21" x14ac:dyDescent="0.25">
      <c r="A206" t="s">
        <v>18</v>
      </c>
      <c r="E206" t="s">
        <v>982</v>
      </c>
      <c r="I206" t="s">
        <v>1120</v>
      </c>
      <c r="M206" t="s">
        <v>1247</v>
      </c>
      <c r="Q206" t="s">
        <v>1355</v>
      </c>
      <c r="U206" t="s">
        <v>1461</v>
      </c>
    </row>
    <row r="207" spans="1:21" x14ac:dyDescent="0.25">
      <c r="A207" t="s">
        <v>19</v>
      </c>
      <c r="E207" t="s">
        <v>30</v>
      </c>
      <c r="I207" t="s">
        <v>30</v>
      </c>
      <c r="M207" t="s">
        <v>18</v>
      </c>
      <c r="Q207" t="s">
        <v>30</v>
      </c>
      <c r="U207" t="s">
        <v>18</v>
      </c>
    </row>
    <row r="208" spans="1:21" x14ac:dyDescent="0.25">
      <c r="A208" t="s">
        <v>20</v>
      </c>
      <c r="E208" t="s">
        <v>31</v>
      </c>
      <c r="I208" t="s">
        <v>31</v>
      </c>
      <c r="M208" t="s">
        <v>19</v>
      </c>
      <c r="Q208" t="s">
        <v>31</v>
      </c>
      <c r="U208" t="s">
        <v>19</v>
      </c>
    </row>
    <row r="209" spans="1:21" x14ac:dyDescent="0.25">
      <c r="A209" t="s">
        <v>862</v>
      </c>
      <c r="E209" t="s">
        <v>32</v>
      </c>
      <c r="I209" t="s">
        <v>32</v>
      </c>
      <c r="M209" t="s">
        <v>20</v>
      </c>
      <c r="Q209" t="s">
        <v>32</v>
      </c>
      <c r="U209" t="s">
        <v>20</v>
      </c>
    </row>
    <row r="210" spans="1:21" x14ac:dyDescent="0.25">
      <c r="A210" t="s">
        <v>22</v>
      </c>
      <c r="E210" t="s">
        <v>983</v>
      </c>
      <c r="I210" t="s">
        <v>1121</v>
      </c>
      <c r="M210" t="s">
        <v>1248</v>
      </c>
      <c r="Q210" t="s">
        <v>1356</v>
      </c>
      <c r="U210" t="s">
        <v>1462</v>
      </c>
    </row>
    <row r="211" spans="1:21" x14ac:dyDescent="0.25">
      <c r="A211" t="s">
        <v>863</v>
      </c>
      <c r="E211" t="s">
        <v>34</v>
      </c>
      <c r="I211" t="s">
        <v>34</v>
      </c>
      <c r="M211" t="s">
        <v>22</v>
      </c>
      <c r="Q211" t="s">
        <v>34</v>
      </c>
      <c r="U211" t="s">
        <v>22</v>
      </c>
    </row>
    <row r="212" spans="1:21" x14ac:dyDescent="0.25">
      <c r="A212" t="s">
        <v>24</v>
      </c>
      <c r="E212" t="s">
        <v>984</v>
      </c>
      <c r="I212" t="s">
        <v>1122</v>
      </c>
      <c r="M212" t="s">
        <v>1249</v>
      </c>
      <c r="Q212" t="s">
        <v>1357</v>
      </c>
      <c r="U212" t="s">
        <v>1463</v>
      </c>
    </row>
    <row r="213" spans="1:21" x14ac:dyDescent="0.25">
      <c r="A213" t="s">
        <v>25</v>
      </c>
      <c r="E213" t="s">
        <v>36</v>
      </c>
      <c r="I213" t="s">
        <v>36</v>
      </c>
      <c r="M213" t="s">
        <v>24</v>
      </c>
      <c r="Q213" t="s">
        <v>36</v>
      </c>
      <c r="U213" t="s">
        <v>24</v>
      </c>
    </row>
    <row r="214" spans="1:21" x14ac:dyDescent="0.25">
      <c r="A214" t="s">
        <v>26</v>
      </c>
      <c r="E214" t="s">
        <v>37</v>
      </c>
      <c r="I214" t="s">
        <v>37</v>
      </c>
      <c r="M214" t="s">
        <v>25</v>
      </c>
      <c r="Q214" t="s">
        <v>37</v>
      </c>
      <c r="U214" t="s">
        <v>25</v>
      </c>
    </row>
    <row r="215" spans="1:21" x14ac:dyDescent="0.25">
      <c r="E215" t="s">
        <v>38</v>
      </c>
      <c r="I215" t="s">
        <v>38</v>
      </c>
      <c r="M215" t="s">
        <v>26</v>
      </c>
      <c r="Q215" t="s">
        <v>38</v>
      </c>
      <c r="U215" t="s">
        <v>26</v>
      </c>
    </row>
    <row r="216" spans="1:21" x14ac:dyDescent="0.25">
      <c r="A216" t="s">
        <v>8</v>
      </c>
    </row>
    <row r="217" spans="1:21" x14ac:dyDescent="0.25">
      <c r="A217" t="s">
        <v>9</v>
      </c>
      <c r="E217" t="s">
        <v>14</v>
      </c>
      <c r="I217" t="s">
        <v>14</v>
      </c>
      <c r="M217" t="s">
        <v>8</v>
      </c>
      <c r="Q217" t="s">
        <v>14</v>
      </c>
      <c r="U217" t="s">
        <v>8</v>
      </c>
    </row>
    <row r="218" spans="1:21" x14ac:dyDescent="0.25">
      <c r="A218" t="s">
        <v>864</v>
      </c>
      <c r="E218" t="s">
        <v>15</v>
      </c>
      <c r="I218" t="s">
        <v>15</v>
      </c>
      <c r="M218" t="s">
        <v>9</v>
      </c>
      <c r="Q218" t="s">
        <v>15</v>
      </c>
      <c r="U218" t="s">
        <v>9</v>
      </c>
    </row>
    <row r="219" spans="1:21" x14ac:dyDescent="0.25">
      <c r="A219" t="s">
        <v>28</v>
      </c>
      <c r="E219" t="s">
        <v>985</v>
      </c>
      <c r="I219" t="s">
        <v>1123</v>
      </c>
      <c r="M219" t="s">
        <v>1250</v>
      </c>
      <c r="Q219" t="s">
        <v>1358</v>
      </c>
      <c r="U219" t="s">
        <v>1464</v>
      </c>
    </row>
    <row r="220" spans="1:21" x14ac:dyDescent="0.25">
      <c r="A220" t="s">
        <v>865</v>
      </c>
      <c r="E220" t="s">
        <v>16</v>
      </c>
      <c r="I220" t="s">
        <v>16</v>
      </c>
      <c r="M220" t="s">
        <v>28</v>
      </c>
      <c r="Q220" t="s">
        <v>16</v>
      </c>
      <c r="U220" t="s">
        <v>28</v>
      </c>
    </row>
    <row r="221" spans="1:21" x14ac:dyDescent="0.25">
      <c r="A221" t="s">
        <v>30</v>
      </c>
      <c r="E221" t="s">
        <v>986</v>
      </c>
      <c r="I221" t="s">
        <v>1124</v>
      </c>
      <c r="M221" t="s">
        <v>1251</v>
      </c>
      <c r="Q221" t="s">
        <v>1359</v>
      </c>
      <c r="U221" t="s">
        <v>1203</v>
      </c>
    </row>
    <row r="222" spans="1:21" x14ac:dyDescent="0.25">
      <c r="A222" t="s">
        <v>31</v>
      </c>
      <c r="E222" t="s">
        <v>18</v>
      </c>
      <c r="I222" t="s">
        <v>18</v>
      </c>
      <c r="M222" t="s">
        <v>30</v>
      </c>
      <c r="Q222" t="s">
        <v>18</v>
      </c>
      <c r="U222" t="s">
        <v>30</v>
      </c>
    </row>
    <row r="223" spans="1:21" x14ac:dyDescent="0.25">
      <c r="A223" t="s">
        <v>32</v>
      </c>
      <c r="E223" t="s">
        <v>19</v>
      </c>
      <c r="I223" t="s">
        <v>19</v>
      </c>
      <c r="M223" t="s">
        <v>31</v>
      </c>
      <c r="Q223" t="s">
        <v>19</v>
      </c>
      <c r="U223" t="s">
        <v>31</v>
      </c>
    </row>
    <row r="224" spans="1:21" x14ac:dyDescent="0.25">
      <c r="A224" t="s">
        <v>866</v>
      </c>
      <c r="E224" t="s">
        <v>20</v>
      </c>
      <c r="I224" t="s">
        <v>20</v>
      </c>
      <c r="M224" t="s">
        <v>32</v>
      </c>
      <c r="Q224" t="s">
        <v>20</v>
      </c>
      <c r="U224" t="s">
        <v>32</v>
      </c>
    </row>
    <row r="225" spans="1:21" x14ac:dyDescent="0.25">
      <c r="A225" t="s">
        <v>34</v>
      </c>
      <c r="E225" t="s">
        <v>987</v>
      </c>
      <c r="I225" t="s">
        <v>1125</v>
      </c>
      <c r="M225" t="s">
        <v>1252</v>
      </c>
      <c r="Q225" t="s">
        <v>1360</v>
      </c>
      <c r="U225" t="s">
        <v>1465</v>
      </c>
    </row>
    <row r="226" spans="1:21" x14ac:dyDescent="0.25">
      <c r="A226" t="s">
        <v>867</v>
      </c>
      <c r="E226" t="s">
        <v>22</v>
      </c>
      <c r="I226" t="s">
        <v>22</v>
      </c>
      <c r="M226" t="s">
        <v>34</v>
      </c>
      <c r="Q226" t="s">
        <v>22</v>
      </c>
      <c r="U226" t="s">
        <v>34</v>
      </c>
    </row>
    <row r="227" spans="1:21" x14ac:dyDescent="0.25">
      <c r="A227" t="s">
        <v>36</v>
      </c>
      <c r="E227" t="s">
        <v>988</v>
      </c>
      <c r="I227" t="s">
        <v>1126</v>
      </c>
      <c r="M227" t="s">
        <v>1253</v>
      </c>
      <c r="Q227" t="s">
        <v>1361</v>
      </c>
      <c r="U227" t="s">
        <v>1466</v>
      </c>
    </row>
    <row r="228" spans="1:21" x14ac:dyDescent="0.25">
      <c r="A228" t="s">
        <v>37</v>
      </c>
      <c r="E228" t="s">
        <v>24</v>
      </c>
      <c r="I228" t="s">
        <v>24</v>
      </c>
      <c r="M228" t="s">
        <v>36</v>
      </c>
      <c r="Q228" t="s">
        <v>24</v>
      </c>
      <c r="U228" t="s">
        <v>36</v>
      </c>
    </row>
    <row r="229" spans="1:21" x14ac:dyDescent="0.25">
      <c r="A229" t="s">
        <v>38</v>
      </c>
      <c r="E229" t="s">
        <v>25</v>
      </c>
      <c r="I229" t="s">
        <v>25</v>
      </c>
      <c r="M229" t="s">
        <v>37</v>
      </c>
      <c r="Q229" t="s">
        <v>25</v>
      </c>
      <c r="U229" t="s">
        <v>37</v>
      </c>
    </row>
    <row r="230" spans="1:21" x14ac:dyDescent="0.25">
      <c r="E230" t="s">
        <v>26</v>
      </c>
      <c r="I230" t="s">
        <v>26</v>
      </c>
      <c r="M230" t="s">
        <v>38</v>
      </c>
      <c r="Q230" t="s">
        <v>26</v>
      </c>
      <c r="U230" t="s">
        <v>38</v>
      </c>
    </row>
    <row r="231" spans="1:21" x14ac:dyDescent="0.25">
      <c r="A231" t="s">
        <v>14</v>
      </c>
    </row>
    <row r="232" spans="1:21" x14ac:dyDescent="0.25">
      <c r="A232" t="s">
        <v>15</v>
      </c>
      <c r="E232" t="s">
        <v>8</v>
      </c>
      <c r="I232" t="s">
        <v>8</v>
      </c>
      <c r="M232" t="s">
        <v>14</v>
      </c>
      <c r="Q232" t="s">
        <v>8</v>
      </c>
      <c r="U232" t="s">
        <v>14</v>
      </c>
    </row>
    <row r="233" spans="1:21" x14ac:dyDescent="0.25">
      <c r="A233" t="s">
        <v>868</v>
      </c>
      <c r="E233" t="s">
        <v>9</v>
      </c>
      <c r="I233" t="s">
        <v>9</v>
      </c>
      <c r="M233" t="s">
        <v>15</v>
      </c>
      <c r="Q233" t="s">
        <v>9</v>
      </c>
      <c r="U233" t="s">
        <v>15</v>
      </c>
    </row>
    <row r="234" spans="1:21" x14ac:dyDescent="0.25">
      <c r="A234" t="s">
        <v>16</v>
      </c>
      <c r="E234" t="s">
        <v>989</v>
      </c>
      <c r="I234" t="s">
        <v>1127</v>
      </c>
      <c r="M234" t="s">
        <v>1254</v>
      </c>
      <c r="Q234" t="s">
        <v>1362</v>
      </c>
      <c r="U234" t="s">
        <v>1467</v>
      </c>
    </row>
    <row r="235" spans="1:21" x14ac:dyDescent="0.25">
      <c r="A235" t="s">
        <v>869</v>
      </c>
      <c r="E235" t="s">
        <v>28</v>
      </c>
      <c r="I235" t="s">
        <v>28</v>
      </c>
      <c r="M235" t="s">
        <v>16</v>
      </c>
      <c r="Q235" t="s">
        <v>28</v>
      </c>
      <c r="U235" t="s">
        <v>16</v>
      </c>
    </row>
    <row r="236" spans="1:21" x14ac:dyDescent="0.25">
      <c r="A236" t="s">
        <v>18</v>
      </c>
      <c r="E236" t="s">
        <v>990</v>
      </c>
      <c r="I236" t="s">
        <v>1120</v>
      </c>
      <c r="M236" t="s">
        <v>1255</v>
      </c>
      <c r="Q236" t="s">
        <v>1318</v>
      </c>
      <c r="U236" t="s">
        <v>1468</v>
      </c>
    </row>
    <row r="237" spans="1:21" x14ac:dyDescent="0.25">
      <c r="A237" t="s">
        <v>19</v>
      </c>
      <c r="E237" t="s">
        <v>30</v>
      </c>
      <c r="I237" t="s">
        <v>30</v>
      </c>
      <c r="M237" t="s">
        <v>18</v>
      </c>
      <c r="Q237" t="s">
        <v>30</v>
      </c>
      <c r="U237" t="s">
        <v>18</v>
      </c>
    </row>
    <row r="238" spans="1:21" x14ac:dyDescent="0.25">
      <c r="A238" t="s">
        <v>20</v>
      </c>
      <c r="E238" t="s">
        <v>31</v>
      </c>
      <c r="I238" t="s">
        <v>31</v>
      </c>
      <c r="M238" t="s">
        <v>19</v>
      </c>
      <c r="Q238" t="s">
        <v>31</v>
      </c>
      <c r="U238" t="s">
        <v>19</v>
      </c>
    </row>
    <row r="239" spans="1:21" x14ac:dyDescent="0.25">
      <c r="A239" t="s">
        <v>870</v>
      </c>
      <c r="E239" t="s">
        <v>32</v>
      </c>
      <c r="I239" t="s">
        <v>32</v>
      </c>
      <c r="M239" t="s">
        <v>20</v>
      </c>
      <c r="Q239" t="s">
        <v>32</v>
      </c>
      <c r="U239" t="s">
        <v>20</v>
      </c>
    </row>
    <row r="240" spans="1:21" x14ac:dyDescent="0.25">
      <c r="A240" t="s">
        <v>22</v>
      </c>
      <c r="E240" t="s">
        <v>991</v>
      </c>
      <c r="I240" t="s">
        <v>1128</v>
      </c>
      <c r="M240" t="s">
        <v>1256</v>
      </c>
      <c r="Q240" t="s">
        <v>1363</v>
      </c>
      <c r="U240" t="s">
        <v>1469</v>
      </c>
    </row>
    <row r="241" spans="1:21" x14ac:dyDescent="0.25">
      <c r="A241" t="s">
        <v>871</v>
      </c>
      <c r="E241" t="s">
        <v>34</v>
      </c>
      <c r="I241" t="s">
        <v>34</v>
      </c>
      <c r="M241" t="s">
        <v>22</v>
      </c>
      <c r="Q241" t="s">
        <v>34</v>
      </c>
      <c r="U241" t="s">
        <v>22</v>
      </c>
    </row>
    <row r="242" spans="1:21" x14ac:dyDescent="0.25">
      <c r="A242" t="s">
        <v>24</v>
      </c>
      <c r="E242" t="s">
        <v>992</v>
      </c>
      <c r="I242" t="s">
        <v>1129</v>
      </c>
      <c r="M242" t="s">
        <v>1257</v>
      </c>
      <c r="Q242" t="s">
        <v>1364</v>
      </c>
      <c r="U242" t="s">
        <v>1470</v>
      </c>
    </row>
    <row r="243" spans="1:21" x14ac:dyDescent="0.25">
      <c r="A243" t="s">
        <v>25</v>
      </c>
      <c r="E243" t="s">
        <v>36</v>
      </c>
      <c r="I243" t="s">
        <v>36</v>
      </c>
      <c r="M243" t="s">
        <v>24</v>
      </c>
      <c r="Q243" t="s">
        <v>36</v>
      </c>
      <c r="U243" t="s">
        <v>24</v>
      </c>
    </row>
    <row r="244" spans="1:21" x14ac:dyDescent="0.25">
      <c r="A244" t="s">
        <v>26</v>
      </c>
      <c r="E244" t="s">
        <v>37</v>
      </c>
      <c r="I244" t="s">
        <v>37</v>
      </c>
      <c r="M244" t="s">
        <v>25</v>
      </c>
      <c r="Q244" t="s">
        <v>37</v>
      </c>
      <c r="U244" t="s">
        <v>25</v>
      </c>
    </row>
    <row r="245" spans="1:21" x14ac:dyDescent="0.25">
      <c r="E245" t="s">
        <v>38</v>
      </c>
      <c r="I245" t="s">
        <v>38</v>
      </c>
      <c r="M245" t="s">
        <v>26</v>
      </c>
      <c r="Q245" t="s">
        <v>38</v>
      </c>
      <c r="U245" t="s">
        <v>26</v>
      </c>
    </row>
    <row r="246" spans="1:21" x14ac:dyDescent="0.25">
      <c r="A246" t="s">
        <v>8</v>
      </c>
    </row>
    <row r="247" spans="1:21" x14ac:dyDescent="0.25">
      <c r="A247" t="s">
        <v>9</v>
      </c>
      <c r="E247" t="s">
        <v>14</v>
      </c>
      <c r="I247" t="s">
        <v>14</v>
      </c>
      <c r="M247" t="s">
        <v>8</v>
      </c>
      <c r="Q247" t="s">
        <v>14</v>
      </c>
      <c r="U247" t="s">
        <v>8</v>
      </c>
    </row>
    <row r="248" spans="1:21" x14ac:dyDescent="0.25">
      <c r="A248" t="s">
        <v>872</v>
      </c>
      <c r="E248" t="s">
        <v>15</v>
      </c>
      <c r="I248" t="s">
        <v>15</v>
      </c>
      <c r="M248" t="s">
        <v>9</v>
      </c>
      <c r="Q248" t="s">
        <v>15</v>
      </c>
      <c r="U248" t="s">
        <v>9</v>
      </c>
    </row>
    <row r="249" spans="1:21" x14ac:dyDescent="0.25">
      <c r="A249" t="s">
        <v>28</v>
      </c>
      <c r="E249" t="s">
        <v>993</v>
      </c>
      <c r="I249" t="s">
        <v>1130</v>
      </c>
      <c r="M249" t="s">
        <v>1258</v>
      </c>
      <c r="Q249" t="s">
        <v>1365</v>
      </c>
      <c r="U249" t="s">
        <v>1471</v>
      </c>
    </row>
    <row r="250" spans="1:21" x14ac:dyDescent="0.25">
      <c r="A250" t="s">
        <v>873</v>
      </c>
      <c r="E250" t="s">
        <v>16</v>
      </c>
      <c r="I250" t="s">
        <v>16</v>
      </c>
      <c r="M250" t="s">
        <v>28</v>
      </c>
      <c r="Q250" t="s">
        <v>16</v>
      </c>
      <c r="U250" t="s">
        <v>28</v>
      </c>
    </row>
    <row r="251" spans="1:21" x14ac:dyDescent="0.25">
      <c r="A251" t="s">
        <v>30</v>
      </c>
      <c r="E251" t="s">
        <v>994</v>
      </c>
      <c r="I251" t="s">
        <v>1131</v>
      </c>
      <c r="M251" t="s">
        <v>1259</v>
      </c>
      <c r="Q251" t="s">
        <v>1322</v>
      </c>
      <c r="U251" t="s">
        <v>1472</v>
      </c>
    </row>
    <row r="252" spans="1:21" x14ac:dyDescent="0.25">
      <c r="A252" t="s">
        <v>31</v>
      </c>
      <c r="E252" t="s">
        <v>18</v>
      </c>
      <c r="I252" t="s">
        <v>18</v>
      </c>
      <c r="M252" t="s">
        <v>30</v>
      </c>
      <c r="Q252" t="s">
        <v>18</v>
      </c>
      <c r="U252" t="s">
        <v>30</v>
      </c>
    </row>
    <row r="253" spans="1:21" x14ac:dyDescent="0.25">
      <c r="A253" t="s">
        <v>32</v>
      </c>
      <c r="E253" t="s">
        <v>19</v>
      </c>
      <c r="I253" t="s">
        <v>19</v>
      </c>
      <c r="M253" t="s">
        <v>31</v>
      </c>
      <c r="Q253" t="s">
        <v>19</v>
      </c>
      <c r="U253" t="s">
        <v>31</v>
      </c>
    </row>
    <row r="254" spans="1:21" x14ac:dyDescent="0.25">
      <c r="A254" t="s">
        <v>874</v>
      </c>
      <c r="E254" t="s">
        <v>20</v>
      </c>
      <c r="I254" t="s">
        <v>20</v>
      </c>
      <c r="M254" t="s">
        <v>32</v>
      </c>
      <c r="Q254" t="s">
        <v>20</v>
      </c>
      <c r="U254" t="s">
        <v>32</v>
      </c>
    </row>
    <row r="255" spans="1:21" x14ac:dyDescent="0.25">
      <c r="A255" t="s">
        <v>34</v>
      </c>
      <c r="E255" t="s">
        <v>995</v>
      </c>
      <c r="I255" t="s">
        <v>1132</v>
      </c>
      <c r="M255" t="s">
        <v>1260</v>
      </c>
      <c r="Q255" t="s">
        <v>1366</v>
      </c>
      <c r="U255" t="s">
        <v>1473</v>
      </c>
    </row>
    <row r="256" spans="1:21" x14ac:dyDescent="0.25">
      <c r="A256" t="s">
        <v>875</v>
      </c>
      <c r="E256" t="s">
        <v>22</v>
      </c>
      <c r="I256" t="s">
        <v>22</v>
      </c>
      <c r="M256" t="s">
        <v>34</v>
      </c>
      <c r="Q256" t="s">
        <v>22</v>
      </c>
      <c r="U256" t="s">
        <v>34</v>
      </c>
    </row>
    <row r="257" spans="1:21" x14ac:dyDescent="0.25">
      <c r="A257" t="s">
        <v>36</v>
      </c>
      <c r="E257" t="s">
        <v>996</v>
      </c>
      <c r="I257" t="s">
        <v>1133</v>
      </c>
      <c r="M257" t="s">
        <v>1261</v>
      </c>
      <c r="Q257" t="s">
        <v>1367</v>
      </c>
      <c r="U257" t="s">
        <v>1474</v>
      </c>
    </row>
    <row r="258" spans="1:21" x14ac:dyDescent="0.25">
      <c r="A258" t="s">
        <v>37</v>
      </c>
      <c r="E258" t="s">
        <v>24</v>
      </c>
      <c r="I258" t="s">
        <v>24</v>
      </c>
      <c r="M258" t="s">
        <v>36</v>
      </c>
      <c r="Q258" t="s">
        <v>24</v>
      </c>
      <c r="U258" t="s">
        <v>36</v>
      </c>
    </row>
    <row r="259" spans="1:21" x14ac:dyDescent="0.25">
      <c r="A259" t="s">
        <v>38</v>
      </c>
      <c r="E259" t="s">
        <v>25</v>
      </c>
      <c r="I259" t="s">
        <v>25</v>
      </c>
      <c r="M259" t="s">
        <v>37</v>
      </c>
      <c r="Q259" t="s">
        <v>25</v>
      </c>
      <c r="U259" t="s">
        <v>37</v>
      </c>
    </row>
    <row r="260" spans="1:21" x14ac:dyDescent="0.25">
      <c r="E260" t="s">
        <v>26</v>
      </c>
      <c r="I260" t="s">
        <v>26</v>
      </c>
      <c r="M260" t="s">
        <v>38</v>
      </c>
      <c r="Q260" t="s">
        <v>26</v>
      </c>
      <c r="U260" t="s">
        <v>38</v>
      </c>
    </row>
    <row r="261" spans="1:21" x14ac:dyDescent="0.25">
      <c r="A261" t="s">
        <v>14</v>
      </c>
    </row>
    <row r="262" spans="1:21" x14ac:dyDescent="0.25">
      <c r="A262" t="s">
        <v>15</v>
      </c>
      <c r="E262" t="s">
        <v>8</v>
      </c>
      <c r="I262" t="s">
        <v>8</v>
      </c>
      <c r="M262" t="s">
        <v>14</v>
      </c>
      <c r="Q262" t="s">
        <v>8</v>
      </c>
      <c r="U262" t="s">
        <v>14</v>
      </c>
    </row>
    <row r="263" spans="1:21" x14ac:dyDescent="0.25">
      <c r="A263" t="s">
        <v>876</v>
      </c>
      <c r="E263" t="s">
        <v>9</v>
      </c>
      <c r="I263" t="s">
        <v>9</v>
      </c>
      <c r="M263" t="s">
        <v>15</v>
      </c>
      <c r="Q263" t="s">
        <v>9</v>
      </c>
      <c r="U263" t="s">
        <v>15</v>
      </c>
    </row>
    <row r="264" spans="1:21" x14ac:dyDescent="0.25">
      <c r="A264" t="s">
        <v>16</v>
      </c>
      <c r="E264" t="s">
        <v>997</v>
      </c>
      <c r="I264" t="s">
        <v>1134</v>
      </c>
      <c r="M264" t="s">
        <v>1262</v>
      </c>
      <c r="Q264" t="s">
        <v>1368</v>
      </c>
      <c r="U264" t="s">
        <v>1475</v>
      </c>
    </row>
    <row r="265" spans="1:21" x14ac:dyDescent="0.25">
      <c r="A265" t="s">
        <v>877</v>
      </c>
      <c r="E265" t="s">
        <v>28</v>
      </c>
      <c r="I265" t="s">
        <v>28</v>
      </c>
      <c r="M265" t="s">
        <v>16</v>
      </c>
      <c r="Q265" t="s">
        <v>28</v>
      </c>
      <c r="U265" t="s">
        <v>16</v>
      </c>
    </row>
    <row r="266" spans="1:21" x14ac:dyDescent="0.25">
      <c r="A266" t="s">
        <v>18</v>
      </c>
      <c r="E266" t="s">
        <v>990</v>
      </c>
      <c r="I266" t="s">
        <v>1135</v>
      </c>
      <c r="M266" t="s">
        <v>1247</v>
      </c>
      <c r="Q266" t="s">
        <v>1369</v>
      </c>
      <c r="U266" t="s">
        <v>1476</v>
      </c>
    </row>
    <row r="267" spans="1:21" x14ac:dyDescent="0.25">
      <c r="A267" t="s">
        <v>19</v>
      </c>
      <c r="E267" t="s">
        <v>30</v>
      </c>
      <c r="I267" t="s">
        <v>30</v>
      </c>
      <c r="M267" t="s">
        <v>18</v>
      </c>
      <c r="Q267" t="s">
        <v>30</v>
      </c>
      <c r="U267" t="s">
        <v>18</v>
      </c>
    </row>
    <row r="268" spans="1:21" x14ac:dyDescent="0.25">
      <c r="A268" t="s">
        <v>20</v>
      </c>
      <c r="E268" t="s">
        <v>31</v>
      </c>
      <c r="I268" t="s">
        <v>31</v>
      </c>
      <c r="M268" t="s">
        <v>19</v>
      </c>
      <c r="Q268" t="s">
        <v>31</v>
      </c>
      <c r="U268" t="s">
        <v>19</v>
      </c>
    </row>
    <row r="269" spans="1:21" x14ac:dyDescent="0.25">
      <c r="A269" t="s">
        <v>878</v>
      </c>
      <c r="E269" t="s">
        <v>32</v>
      </c>
      <c r="I269" t="s">
        <v>32</v>
      </c>
      <c r="M269" t="s">
        <v>20</v>
      </c>
      <c r="Q269" t="s">
        <v>32</v>
      </c>
      <c r="U269" t="s">
        <v>20</v>
      </c>
    </row>
    <row r="270" spans="1:21" x14ac:dyDescent="0.25">
      <c r="A270" t="s">
        <v>22</v>
      </c>
      <c r="E270" t="s">
        <v>998</v>
      </c>
      <c r="I270" t="s">
        <v>1136</v>
      </c>
      <c r="M270" t="s">
        <v>1263</v>
      </c>
      <c r="Q270" t="s">
        <v>1370</v>
      </c>
      <c r="U270" t="s">
        <v>1477</v>
      </c>
    </row>
    <row r="271" spans="1:21" x14ac:dyDescent="0.25">
      <c r="A271" t="s">
        <v>879</v>
      </c>
      <c r="E271" t="s">
        <v>34</v>
      </c>
      <c r="I271" t="s">
        <v>34</v>
      </c>
      <c r="M271" t="s">
        <v>22</v>
      </c>
      <c r="Q271" t="s">
        <v>34</v>
      </c>
      <c r="U271" t="s">
        <v>22</v>
      </c>
    </row>
    <row r="272" spans="1:21" x14ac:dyDescent="0.25">
      <c r="A272" t="s">
        <v>24</v>
      </c>
      <c r="E272" t="s">
        <v>999</v>
      </c>
      <c r="I272" t="s">
        <v>1137</v>
      </c>
      <c r="M272" t="s">
        <v>1264</v>
      </c>
      <c r="Q272" t="s">
        <v>1371</v>
      </c>
      <c r="U272" t="s">
        <v>1478</v>
      </c>
    </row>
    <row r="273" spans="1:21" x14ac:dyDescent="0.25">
      <c r="A273" t="s">
        <v>25</v>
      </c>
      <c r="E273" t="s">
        <v>36</v>
      </c>
      <c r="I273" t="s">
        <v>36</v>
      </c>
      <c r="M273" t="s">
        <v>24</v>
      </c>
      <c r="Q273" t="s">
        <v>36</v>
      </c>
      <c r="U273" t="s">
        <v>24</v>
      </c>
    </row>
    <row r="274" spans="1:21" x14ac:dyDescent="0.25">
      <c r="A274" t="s">
        <v>26</v>
      </c>
      <c r="E274" t="s">
        <v>37</v>
      </c>
      <c r="I274" t="s">
        <v>37</v>
      </c>
      <c r="M274" t="s">
        <v>25</v>
      </c>
      <c r="Q274" t="s">
        <v>37</v>
      </c>
      <c r="U274" t="s">
        <v>25</v>
      </c>
    </row>
    <row r="275" spans="1:21" x14ac:dyDescent="0.25">
      <c r="E275" t="s">
        <v>38</v>
      </c>
      <c r="I275" t="s">
        <v>38</v>
      </c>
      <c r="M275" t="s">
        <v>26</v>
      </c>
      <c r="Q275" t="s">
        <v>38</v>
      </c>
      <c r="U275" t="s">
        <v>26</v>
      </c>
    </row>
    <row r="276" spans="1:21" x14ac:dyDescent="0.25">
      <c r="A276" t="s">
        <v>8</v>
      </c>
    </row>
    <row r="277" spans="1:21" x14ac:dyDescent="0.25">
      <c r="A277" t="s">
        <v>9</v>
      </c>
      <c r="E277" t="s">
        <v>14</v>
      </c>
      <c r="I277" t="s">
        <v>14</v>
      </c>
      <c r="M277" t="s">
        <v>8</v>
      </c>
      <c r="Q277" t="s">
        <v>14</v>
      </c>
      <c r="U277" t="s">
        <v>8</v>
      </c>
    </row>
    <row r="278" spans="1:21" x14ac:dyDescent="0.25">
      <c r="A278" t="s">
        <v>880</v>
      </c>
      <c r="E278" t="s">
        <v>15</v>
      </c>
      <c r="I278" t="s">
        <v>15</v>
      </c>
      <c r="M278" t="s">
        <v>9</v>
      </c>
      <c r="Q278" t="s">
        <v>15</v>
      </c>
      <c r="U278" t="s">
        <v>9</v>
      </c>
    </row>
    <row r="279" spans="1:21" x14ac:dyDescent="0.25">
      <c r="A279" t="s">
        <v>28</v>
      </c>
      <c r="E279" t="s">
        <v>1000</v>
      </c>
      <c r="I279" t="s">
        <v>1138</v>
      </c>
      <c r="M279" t="s">
        <v>1265</v>
      </c>
      <c r="Q279" t="s">
        <v>1372</v>
      </c>
      <c r="U279" t="s">
        <v>1479</v>
      </c>
    </row>
    <row r="280" spans="1:21" x14ac:dyDescent="0.25">
      <c r="A280" t="s">
        <v>881</v>
      </c>
      <c r="E280" t="s">
        <v>16</v>
      </c>
      <c r="I280" t="s">
        <v>16</v>
      </c>
      <c r="M280" t="s">
        <v>28</v>
      </c>
      <c r="Q280" t="s">
        <v>16</v>
      </c>
      <c r="U280" t="s">
        <v>28</v>
      </c>
    </row>
    <row r="281" spans="1:21" x14ac:dyDescent="0.25">
      <c r="A281" t="s">
        <v>30</v>
      </c>
      <c r="E281" t="s">
        <v>986</v>
      </c>
      <c r="I281" t="s">
        <v>1139</v>
      </c>
      <c r="M281" t="s">
        <v>1266</v>
      </c>
      <c r="Q281" t="s">
        <v>1373</v>
      </c>
      <c r="U281" t="s">
        <v>1318</v>
      </c>
    </row>
    <row r="282" spans="1:21" x14ac:dyDescent="0.25">
      <c r="A282" t="s">
        <v>31</v>
      </c>
      <c r="E282" t="s">
        <v>18</v>
      </c>
      <c r="I282" t="s">
        <v>18</v>
      </c>
      <c r="M282" t="s">
        <v>30</v>
      </c>
      <c r="Q282" t="s">
        <v>18</v>
      </c>
      <c r="U282" t="s">
        <v>30</v>
      </c>
    </row>
    <row r="283" spans="1:21" x14ac:dyDescent="0.25">
      <c r="A283" t="s">
        <v>32</v>
      </c>
      <c r="E283" t="s">
        <v>19</v>
      </c>
      <c r="I283" t="s">
        <v>19</v>
      </c>
      <c r="M283" t="s">
        <v>31</v>
      </c>
      <c r="Q283" t="s">
        <v>19</v>
      </c>
      <c r="U283" t="s">
        <v>31</v>
      </c>
    </row>
    <row r="284" spans="1:21" x14ac:dyDescent="0.25">
      <c r="A284" t="s">
        <v>882</v>
      </c>
      <c r="E284" t="s">
        <v>20</v>
      </c>
      <c r="I284" t="s">
        <v>20</v>
      </c>
      <c r="M284" t="s">
        <v>32</v>
      </c>
      <c r="Q284" t="s">
        <v>20</v>
      </c>
      <c r="U284" t="s">
        <v>32</v>
      </c>
    </row>
    <row r="285" spans="1:21" x14ac:dyDescent="0.25">
      <c r="A285" t="s">
        <v>34</v>
      </c>
      <c r="E285" t="s">
        <v>1001</v>
      </c>
      <c r="I285" t="s">
        <v>1140</v>
      </c>
      <c r="M285" t="s">
        <v>1204</v>
      </c>
      <c r="Q285" t="s">
        <v>1374</v>
      </c>
      <c r="U285" t="s">
        <v>1480</v>
      </c>
    </row>
    <row r="286" spans="1:21" x14ac:dyDescent="0.25">
      <c r="A286" t="s">
        <v>883</v>
      </c>
      <c r="E286" t="s">
        <v>22</v>
      </c>
      <c r="I286" t="s">
        <v>22</v>
      </c>
      <c r="M286" t="s">
        <v>34</v>
      </c>
      <c r="Q286" t="s">
        <v>22</v>
      </c>
      <c r="U286" t="s">
        <v>34</v>
      </c>
    </row>
    <row r="287" spans="1:21" x14ac:dyDescent="0.25">
      <c r="A287" t="s">
        <v>36</v>
      </c>
      <c r="E287" t="s">
        <v>1002</v>
      </c>
      <c r="I287" t="s">
        <v>1141</v>
      </c>
      <c r="M287" t="s">
        <v>1205</v>
      </c>
      <c r="Q287" t="s">
        <v>1375</v>
      </c>
      <c r="U287" t="s">
        <v>1481</v>
      </c>
    </row>
    <row r="288" spans="1:21" x14ac:dyDescent="0.25">
      <c r="A288" t="s">
        <v>37</v>
      </c>
      <c r="E288" t="s">
        <v>24</v>
      </c>
      <c r="I288" t="s">
        <v>24</v>
      </c>
      <c r="M288" t="s">
        <v>36</v>
      </c>
      <c r="Q288" t="s">
        <v>24</v>
      </c>
      <c r="U288" t="s">
        <v>36</v>
      </c>
    </row>
    <row r="289" spans="1:21" x14ac:dyDescent="0.25">
      <c r="A289" t="s">
        <v>38</v>
      </c>
      <c r="E289" t="s">
        <v>25</v>
      </c>
      <c r="I289" t="s">
        <v>25</v>
      </c>
      <c r="M289" t="s">
        <v>37</v>
      </c>
      <c r="Q289" t="s">
        <v>25</v>
      </c>
      <c r="U289" t="s">
        <v>37</v>
      </c>
    </row>
    <row r="290" spans="1:21" x14ac:dyDescent="0.25">
      <c r="E290" t="s">
        <v>26</v>
      </c>
      <c r="I290" t="s">
        <v>26</v>
      </c>
      <c r="M290" t="s">
        <v>38</v>
      </c>
      <c r="Q290" t="s">
        <v>26</v>
      </c>
      <c r="U290" t="s">
        <v>38</v>
      </c>
    </row>
    <row r="291" spans="1:21" x14ac:dyDescent="0.25">
      <c r="A291" t="s">
        <v>14</v>
      </c>
    </row>
    <row r="292" spans="1:21" x14ac:dyDescent="0.25">
      <c r="A292" t="s">
        <v>15</v>
      </c>
      <c r="E292" t="s">
        <v>8</v>
      </c>
      <c r="I292" t="s">
        <v>8</v>
      </c>
      <c r="M292" t="s">
        <v>14</v>
      </c>
      <c r="Q292" t="s">
        <v>8</v>
      </c>
      <c r="U292" t="s">
        <v>14</v>
      </c>
    </row>
    <row r="293" spans="1:21" x14ac:dyDescent="0.25">
      <c r="A293" t="s">
        <v>884</v>
      </c>
      <c r="E293" t="s">
        <v>9</v>
      </c>
      <c r="I293" t="s">
        <v>9</v>
      </c>
      <c r="M293" t="s">
        <v>15</v>
      </c>
      <c r="Q293" t="s">
        <v>9</v>
      </c>
      <c r="U293" t="s">
        <v>15</v>
      </c>
    </row>
    <row r="294" spans="1:21" x14ac:dyDescent="0.25">
      <c r="A294" t="s">
        <v>16</v>
      </c>
      <c r="E294" t="s">
        <v>1003</v>
      </c>
      <c r="I294" t="s">
        <v>1142</v>
      </c>
      <c r="M294" t="s">
        <v>1267</v>
      </c>
      <c r="Q294" t="s">
        <v>1376</v>
      </c>
      <c r="U294" t="s">
        <v>1482</v>
      </c>
    </row>
    <row r="295" spans="1:21" x14ac:dyDescent="0.25">
      <c r="A295" t="s">
        <v>885</v>
      </c>
      <c r="E295" t="s">
        <v>28</v>
      </c>
      <c r="I295" t="s">
        <v>28</v>
      </c>
      <c r="M295" t="s">
        <v>16</v>
      </c>
      <c r="Q295" t="s">
        <v>28</v>
      </c>
      <c r="U295" t="s">
        <v>16</v>
      </c>
    </row>
    <row r="296" spans="1:21" x14ac:dyDescent="0.25">
      <c r="A296" t="s">
        <v>18</v>
      </c>
      <c r="E296" t="s">
        <v>1004</v>
      </c>
      <c r="I296" t="s">
        <v>1143</v>
      </c>
      <c r="M296" t="s">
        <v>1239</v>
      </c>
      <c r="Q296" t="s">
        <v>1377</v>
      </c>
      <c r="U296" t="s">
        <v>1359</v>
      </c>
    </row>
    <row r="297" spans="1:21" x14ac:dyDescent="0.25">
      <c r="A297" t="s">
        <v>19</v>
      </c>
      <c r="E297" t="s">
        <v>30</v>
      </c>
      <c r="I297" t="s">
        <v>30</v>
      </c>
      <c r="M297" t="s">
        <v>18</v>
      </c>
      <c r="Q297" t="s">
        <v>30</v>
      </c>
      <c r="U297" t="s">
        <v>18</v>
      </c>
    </row>
    <row r="298" spans="1:21" x14ac:dyDescent="0.25">
      <c r="A298" t="s">
        <v>20</v>
      </c>
      <c r="E298" t="s">
        <v>31</v>
      </c>
      <c r="I298" t="s">
        <v>31</v>
      </c>
      <c r="M298" t="s">
        <v>19</v>
      </c>
      <c r="Q298" t="s">
        <v>31</v>
      </c>
      <c r="U298" t="s">
        <v>19</v>
      </c>
    </row>
    <row r="299" spans="1:21" x14ac:dyDescent="0.25">
      <c r="A299" t="s">
        <v>886</v>
      </c>
      <c r="E299" t="s">
        <v>32</v>
      </c>
      <c r="I299" t="s">
        <v>32</v>
      </c>
      <c r="M299" t="s">
        <v>20</v>
      </c>
      <c r="Q299" t="s">
        <v>32</v>
      </c>
      <c r="U299" t="s">
        <v>20</v>
      </c>
    </row>
    <row r="300" spans="1:21" x14ac:dyDescent="0.25">
      <c r="A300" t="s">
        <v>22</v>
      </c>
      <c r="E300" t="s">
        <v>1005</v>
      </c>
      <c r="I300" t="s">
        <v>1144</v>
      </c>
      <c r="M300" t="s">
        <v>1268</v>
      </c>
      <c r="Q300" t="s">
        <v>1378</v>
      </c>
      <c r="U300" t="s">
        <v>1483</v>
      </c>
    </row>
    <row r="301" spans="1:21" x14ac:dyDescent="0.25">
      <c r="A301" t="s">
        <v>887</v>
      </c>
      <c r="E301" t="s">
        <v>34</v>
      </c>
      <c r="I301" t="s">
        <v>34</v>
      </c>
      <c r="M301" t="s">
        <v>22</v>
      </c>
      <c r="Q301" t="s">
        <v>34</v>
      </c>
      <c r="U301" t="s">
        <v>22</v>
      </c>
    </row>
    <row r="302" spans="1:21" x14ac:dyDescent="0.25">
      <c r="A302" t="s">
        <v>24</v>
      </c>
      <c r="E302" t="s">
        <v>1006</v>
      </c>
      <c r="I302" t="s">
        <v>1145</v>
      </c>
      <c r="M302" t="s">
        <v>1269</v>
      </c>
      <c r="Q302" t="s">
        <v>1379</v>
      </c>
      <c r="U302" t="s">
        <v>1484</v>
      </c>
    </row>
    <row r="303" spans="1:21" x14ac:dyDescent="0.25">
      <c r="A303" t="s">
        <v>25</v>
      </c>
      <c r="E303" t="s">
        <v>36</v>
      </c>
      <c r="I303" t="s">
        <v>36</v>
      </c>
      <c r="M303" t="s">
        <v>24</v>
      </c>
      <c r="Q303" t="s">
        <v>36</v>
      </c>
      <c r="U303" t="s">
        <v>24</v>
      </c>
    </row>
    <row r="304" spans="1:21" x14ac:dyDescent="0.25">
      <c r="A304" t="s">
        <v>26</v>
      </c>
      <c r="E304" t="s">
        <v>37</v>
      </c>
      <c r="I304" t="s">
        <v>37</v>
      </c>
      <c r="M304" t="s">
        <v>25</v>
      </c>
      <c r="Q304" t="s">
        <v>37</v>
      </c>
      <c r="U304" t="s">
        <v>25</v>
      </c>
    </row>
    <row r="305" spans="1:21" x14ac:dyDescent="0.25">
      <c r="E305" t="s">
        <v>38</v>
      </c>
      <c r="I305" t="s">
        <v>38</v>
      </c>
      <c r="M305" t="s">
        <v>26</v>
      </c>
      <c r="Q305" t="s">
        <v>38</v>
      </c>
      <c r="U305" t="s">
        <v>26</v>
      </c>
    </row>
    <row r="306" spans="1:21" x14ac:dyDescent="0.25">
      <c r="A306" t="s">
        <v>8</v>
      </c>
    </row>
    <row r="307" spans="1:21" x14ac:dyDescent="0.25">
      <c r="A307" t="s">
        <v>9</v>
      </c>
      <c r="E307" t="s">
        <v>14</v>
      </c>
      <c r="I307" t="s">
        <v>14</v>
      </c>
      <c r="M307" t="s">
        <v>8</v>
      </c>
      <c r="Q307" t="s">
        <v>14</v>
      </c>
      <c r="U307" t="s">
        <v>8</v>
      </c>
    </row>
    <row r="308" spans="1:21" x14ac:dyDescent="0.25">
      <c r="A308" t="s">
        <v>888</v>
      </c>
      <c r="E308" t="s">
        <v>15</v>
      </c>
      <c r="I308" t="s">
        <v>15</v>
      </c>
      <c r="M308" t="s">
        <v>9</v>
      </c>
      <c r="Q308" t="s">
        <v>15</v>
      </c>
      <c r="U308" t="s">
        <v>9</v>
      </c>
    </row>
    <row r="309" spans="1:21" x14ac:dyDescent="0.25">
      <c r="A309" t="s">
        <v>28</v>
      </c>
      <c r="E309" t="s">
        <v>1007</v>
      </c>
      <c r="I309" t="s">
        <v>1146</v>
      </c>
      <c r="M309" t="s">
        <v>1270</v>
      </c>
      <c r="Q309" t="s">
        <v>1380</v>
      </c>
      <c r="U309" t="s">
        <v>1485</v>
      </c>
    </row>
    <row r="310" spans="1:21" x14ac:dyDescent="0.25">
      <c r="A310" t="s">
        <v>889</v>
      </c>
      <c r="E310" t="s">
        <v>16</v>
      </c>
      <c r="I310" t="s">
        <v>16</v>
      </c>
      <c r="M310" t="s">
        <v>28</v>
      </c>
      <c r="Q310" t="s">
        <v>16</v>
      </c>
      <c r="U310" t="s">
        <v>28</v>
      </c>
    </row>
    <row r="311" spans="1:21" x14ac:dyDescent="0.25">
      <c r="A311" t="s">
        <v>30</v>
      </c>
      <c r="E311" t="s">
        <v>955</v>
      </c>
      <c r="I311" t="s">
        <v>1139</v>
      </c>
      <c r="M311" t="s">
        <v>1271</v>
      </c>
      <c r="Q311" t="s">
        <v>1381</v>
      </c>
      <c r="U311" t="s">
        <v>1355</v>
      </c>
    </row>
    <row r="312" spans="1:21" x14ac:dyDescent="0.25">
      <c r="A312" t="s">
        <v>31</v>
      </c>
      <c r="E312" t="s">
        <v>18</v>
      </c>
      <c r="I312" t="s">
        <v>18</v>
      </c>
      <c r="M312" t="s">
        <v>30</v>
      </c>
      <c r="Q312" t="s">
        <v>18</v>
      </c>
      <c r="U312" t="s">
        <v>30</v>
      </c>
    </row>
    <row r="313" spans="1:21" x14ac:dyDescent="0.25">
      <c r="A313" t="s">
        <v>32</v>
      </c>
      <c r="E313" t="s">
        <v>19</v>
      </c>
      <c r="I313" t="s">
        <v>19</v>
      </c>
      <c r="M313" t="s">
        <v>31</v>
      </c>
      <c r="Q313" t="s">
        <v>19</v>
      </c>
      <c r="U313" t="s">
        <v>31</v>
      </c>
    </row>
    <row r="314" spans="1:21" x14ac:dyDescent="0.25">
      <c r="A314" t="s">
        <v>890</v>
      </c>
      <c r="E314" t="s">
        <v>20</v>
      </c>
      <c r="I314" t="s">
        <v>20</v>
      </c>
      <c r="M314" t="s">
        <v>32</v>
      </c>
      <c r="Q314" t="s">
        <v>20</v>
      </c>
      <c r="U314" t="s">
        <v>32</v>
      </c>
    </row>
    <row r="315" spans="1:21" x14ac:dyDescent="0.25">
      <c r="A315" t="s">
        <v>34</v>
      </c>
      <c r="E315" t="s">
        <v>1008</v>
      </c>
      <c r="I315" t="s">
        <v>1147</v>
      </c>
      <c r="M315" t="s">
        <v>1272</v>
      </c>
      <c r="Q315" t="s">
        <v>1382</v>
      </c>
      <c r="U315" t="s">
        <v>1486</v>
      </c>
    </row>
    <row r="316" spans="1:21" x14ac:dyDescent="0.25">
      <c r="A316" t="s">
        <v>891</v>
      </c>
      <c r="E316" t="s">
        <v>22</v>
      </c>
      <c r="I316" t="s">
        <v>22</v>
      </c>
      <c r="M316" t="s">
        <v>34</v>
      </c>
      <c r="Q316" t="s">
        <v>22</v>
      </c>
      <c r="U316" t="s">
        <v>34</v>
      </c>
    </row>
    <row r="317" spans="1:21" x14ac:dyDescent="0.25">
      <c r="A317" t="s">
        <v>36</v>
      </c>
      <c r="E317" t="s">
        <v>1009</v>
      </c>
      <c r="I317" t="s">
        <v>1148</v>
      </c>
      <c r="M317" t="s">
        <v>1273</v>
      </c>
      <c r="Q317" t="s">
        <v>1383</v>
      </c>
      <c r="U317" t="s">
        <v>1487</v>
      </c>
    </row>
    <row r="318" spans="1:21" x14ac:dyDescent="0.25">
      <c r="A318" t="s">
        <v>37</v>
      </c>
      <c r="E318" t="s">
        <v>24</v>
      </c>
      <c r="I318" t="s">
        <v>24</v>
      </c>
      <c r="M318" t="s">
        <v>36</v>
      </c>
      <c r="Q318" t="s">
        <v>24</v>
      </c>
      <c r="U318" t="s">
        <v>36</v>
      </c>
    </row>
    <row r="319" spans="1:21" x14ac:dyDescent="0.25">
      <c r="A319" t="s">
        <v>38</v>
      </c>
      <c r="E319" t="s">
        <v>25</v>
      </c>
      <c r="I319" t="s">
        <v>25</v>
      </c>
      <c r="M319" t="s">
        <v>37</v>
      </c>
      <c r="Q319" t="s">
        <v>25</v>
      </c>
      <c r="U319" t="s">
        <v>37</v>
      </c>
    </row>
    <row r="320" spans="1:21" x14ac:dyDescent="0.25">
      <c r="E320" t="s">
        <v>26</v>
      </c>
      <c r="I320" t="s">
        <v>26</v>
      </c>
      <c r="M320" t="s">
        <v>38</v>
      </c>
      <c r="Q320" t="s">
        <v>26</v>
      </c>
      <c r="U320" t="s">
        <v>38</v>
      </c>
    </row>
    <row r="321" spans="1:21" x14ac:dyDescent="0.25">
      <c r="A321" t="s">
        <v>14</v>
      </c>
    </row>
    <row r="322" spans="1:21" x14ac:dyDescent="0.25">
      <c r="A322" t="s">
        <v>15</v>
      </c>
      <c r="E322" t="s">
        <v>8</v>
      </c>
      <c r="I322" t="s">
        <v>8</v>
      </c>
      <c r="M322" t="s">
        <v>14</v>
      </c>
      <c r="Q322" t="s">
        <v>8</v>
      </c>
      <c r="U322" t="s">
        <v>14</v>
      </c>
    </row>
    <row r="323" spans="1:21" x14ac:dyDescent="0.25">
      <c r="A323" t="s">
        <v>892</v>
      </c>
      <c r="E323" t="s">
        <v>9</v>
      </c>
      <c r="I323" t="s">
        <v>9</v>
      </c>
      <c r="M323" t="s">
        <v>15</v>
      </c>
      <c r="Q323" t="s">
        <v>9</v>
      </c>
      <c r="U323" t="s">
        <v>15</v>
      </c>
    </row>
    <row r="324" spans="1:21" x14ac:dyDescent="0.25">
      <c r="A324" t="s">
        <v>16</v>
      </c>
      <c r="E324" t="s">
        <v>1010</v>
      </c>
      <c r="I324" t="s">
        <v>1149</v>
      </c>
      <c r="M324" t="s">
        <v>1274</v>
      </c>
      <c r="Q324" t="s">
        <v>1384</v>
      </c>
      <c r="U324" t="s">
        <v>1488</v>
      </c>
    </row>
    <row r="325" spans="1:21" x14ac:dyDescent="0.25">
      <c r="A325" t="s">
        <v>893</v>
      </c>
      <c r="E325" t="s">
        <v>28</v>
      </c>
      <c r="I325" t="s">
        <v>28</v>
      </c>
      <c r="M325" t="s">
        <v>16</v>
      </c>
      <c r="Q325" t="s">
        <v>28</v>
      </c>
      <c r="U325" t="s">
        <v>16</v>
      </c>
    </row>
    <row r="326" spans="1:21" x14ac:dyDescent="0.25">
      <c r="A326" t="s">
        <v>18</v>
      </c>
      <c r="E326" t="s">
        <v>1011</v>
      </c>
      <c r="I326" t="s">
        <v>1150</v>
      </c>
      <c r="M326" t="s">
        <v>1275</v>
      </c>
      <c r="Q326" t="s">
        <v>1385</v>
      </c>
      <c r="U326" t="s">
        <v>1441</v>
      </c>
    </row>
    <row r="327" spans="1:21" x14ac:dyDescent="0.25">
      <c r="A327" t="s">
        <v>19</v>
      </c>
      <c r="E327" t="s">
        <v>30</v>
      </c>
      <c r="I327" t="s">
        <v>30</v>
      </c>
      <c r="M327" t="s">
        <v>18</v>
      </c>
      <c r="Q327" t="s">
        <v>30</v>
      </c>
      <c r="U327" t="s">
        <v>18</v>
      </c>
    </row>
    <row r="328" spans="1:21" x14ac:dyDescent="0.25">
      <c r="A328" t="s">
        <v>20</v>
      </c>
      <c r="E328" t="s">
        <v>31</v>
      </c>
      <c r="I328" t="s">
        <v>31</v>
      </c>
      <c r="M328" t="s">
        <v>19</v>
      </c>
      <c r="Q328" t="s">
        <v>31</v>
      </c>
      <c r="U328" t="s">
        <v>19</v>
      </c>
    </row>
    <row r="329" spans="1:21" x14ac:dyDescent="0.25">
      <c r="A329" t="s">
        <v>894</v>
      </c>
      <c r="E329" t="s">
        <v>32</v>
      </c>
      <c r="I329" t="s">
        <v>32</v>
      </c>
      <c r="M329" t="s">
        <v>20</v>
      </c>
      <c r="Q329" t="s">
        <v>32</v>
      </c>
      <c r="U329" t="s">
        <v>20</v>
      </c>
    </row>
    <row r="330" spans="1:21" x14ac:dyDescent="0.25">
      <c r="A330" t="s">
        <v>22</v>
      </c>
      <c r="E330" t="s">
        <v>1012</v>
      </c>
      <c r="I330" t="s">
        <v>1151</v>
      </c>
      <c r="M330" t="s">
        <v>1276</v>
      </c>
      <c r="Q330" t="s">
        <v>1386</v>
      </c>
      <c r="U330" t="s">
        <v>1489</v>
      </c>
    </row>
    <row r="331" spans="1:21" x14ac:dyDescent="0.25">
      <c r="A331" t="s">
        <v>895</v>
      </c>
      <c r="E331" t="s">
        <v>34</v>
      </c>
      <c r="I331" t="s">
        <v>34</v>
      </c>
      <c r="M331" t="s">
        <v>22</v>
      </c>
      <c r="Q331" t="s">
        <v>34</v>
      </c>
      <c r="U331" t="s">
        <v>22</v>
      </c>
    </row>
    <row r="332" spans="1:21" x14ac:dyDescent="0.25">
      <c r="A332" t="s">
        <v>24</v>
      </c>
      <c r="E332" t="s">
        <v>1013</v>
      </c>
      <c r="I332" t="s">
        <v>1152</v>
      </c>
      <c r="M332" t="s">
        <v>1277</v>
      </c>
      <c r="Q332" t="s">
        <v>1387</v>
      </c>
      <c r="U332" t="s">
        <v>402</v>
      </c>
    </row>
    <row r="333" spans="1:21" x14ac:dyDescent="0.25">
      <c r="A333" t="s">
        <v>25</v>
      </c>
      <c r="E333" t="s">
        <v>36</v>
      </c>
      <c r="I333" t="s">
        <v>36</v>
      </c>
      <c r="M333" t="s">
        <v>24</v>
      </c>
      <c r="Q333" t="s">
        <v>36</v>
      </c>
      <c r="U333" t="s">
        <v>24</v>
      </c>
    </row>
    <row r="334" spans="1:21" x14ac:dyDescent="0.25">
      <c r="A334" t="s">
        <v>26</v>
      </c>
      <c r="E334" t="s">
        <v>37</v>
      </c>
      <c r="I334" t="s">
        <v>37</v>
      </c>
      <c r="M334" t="s">
        <v>25</v>
      </c>
      <c r="Q334" t="s">
        <v>37</v>
      </c>
      <c r="U334" t="s">
        <v>25</v>
      </c>
    </row>
    <row r="335" spans="1:21" x14ac:dyDescent="0.25">
      <c r="E335" t="s">
        <v>38</v>
      </c>
      <c r="I335" t="s">
        <v>38</v>
      </c>
      <c r="M335" t="s">
        <v>26</v>
      </c>
      <c r="Q335" t="s">
        <v>38</v>
      </c>
      <c r="U335" t="s">
        <v>26</v>
      </c>
    </row>
    <row r="336" spans="1:21" x14ac:dyDescent="0.25">
      <c r="A336" t="s">
        <v>8</v>
      </c>
    </row>
    <row r="337" spans="1:21" x14ac:dyDescent="0.25">
      <c r="A337" t="s">
        <v>9</v>
      </c>
      <c r="E337" t="s">
        <v>14</v>
      </c>
      <c r="I337" t="s">
        <v>14</v>
      </c>
      <c r="M337" t="s">
        <v>8</v>
      </c>
      <c r="Q337" t="s">
        <v>14</v>
      </c>
      <c r="U337" t="s">
        <v>8</v>
      </c>
    </row>
    <row r="338" spans="1:21" x14ac:dyDescent="0.25">
      <c r="A338" t="s">
        <v>896</v>
      </c>
      <c r="E338" t="s">
        <v>15</v>
      </c>
      <c r="I338" t="s">
        <v>15</v>
      </c>
      <c r="M338" t="s">
        <v>9</v>
      </c>
      <c r="Q338" t="s">
        <v>15</v>
      </c>
      <c r="U338" t="s">
        <v>9</v>
      </c>
    </row>
    <row r="339" spans="1:21" x14ac:dyDescent="0.25">
      <c r="A339" t="s">
        <v>28</v>
      </c>
      <c r="E339" t="s">
        <v>1014</v>
      </c>
      <c r="I339" t="s">
        <v>1153</v>
      </c>
      <c r="M339" t="s">
        <v>1278</v>
      </c>
      <c r="Q339" t="s">
        <v>1388</v>
      </c>
      <c r="U339" t="s">
        <v>1490</v>
      </c>
    </row>
    <row r="340" spans="1:21" x14ac:dyDescent="0.25">
      <c r="A340" t="s">
        <v>897</v>
      </c>
      <c r="E340" t="s">
        <v>16</v>
      </c>
      <c r="I340" t="s">
        <v>16</v>
      </c>
      <c r="M340" t="s">
        <v>28</v>
      </c>
      <c r="Q340" t="s">
        <v>16</v>
      </c>
      <c r="U340" t="s">
        <v>28</v>
      </c>
    </row>
    <row r="341" spans="1:21" x14ac:dyDescent="0.25">
      <c r="A341" t="s">
        <v>30</v>
      </c>
      <c r="E341" t="s">
        <v>1015</v>
      </c>
      <c r="I341" t="s">
        <v>1154</v>
      </c>
      <c r="M341" t="s">
        <v>1259</v>
      </c>
      <c r="Q341" t="s">
        <v>1389</v>
      </c>
      <c r="U341" t="s">
        <v>1491</v>
      </c>
    </row>
    <row r="342" spans="1:21" x14ac:dyDescent="0.25">
      <c r="A342" t="s">
        <v>31</v>
      </c>
      <c r="E342" t="s">
        <v>18</v>
      </c>
      <c r="I342" t="s">
        <v>18</v>
      </c>
      <c r="M342" t="s">
        <v>30</v>
      </c>
      <c r="Q342" t="s">
        <v>18</v>
      </c>
      <c r="U342" t="s">
        <v>30</v>
      </c>
    </row>
    <row r="343" spans="1:21" x14ac:dyDescent="0.25">
      <c r="A343" t="s">
        <v>32</v>
      </c>
      <c r="E343" t="s">
        <v>19</v>
      </c>
      <c r="I343" t="s">
        <v>19</v>
      </c>
      <c r="M343" t="s">
        <v>31</v>
      </c>
      <c r="Q343" t="s">
        <v>19</v>
      </c>
      <c r="U343" t="s">
        <v>31</v>
      </c>
    </row>
    <row r="344" spans="1:21" x14ac:dyDescent="0.25">
      <c r="A344" t="s">
        <v>898</v>
      </c>
      <c r="E344" t="s">
        <v>20</v>
      </c>
      <c r="I344" t="s">
        <v>20</v>
      </c>
      <c r="M344" t="s">
        <v>32</v>
      </c>
      <c r="Q344" t="s">
        <v>20</v>
      </c>
      <c r="U344" t="s">
        <v>32</v>
      </c>
    </row>
    <row r="345" spans="1:21" x14ac:dyDescent="0.25">
      <c r="A345" t="s">
        <v>34</v>
      </c>
      <c r="E345" t="s">
        <v>1016</v>
      </c>
      <c r="I345" t="s">
        <v>1155</v>
      </c>
      <c r="M345" t="s">
        <v>1279</v>
      </c>
      <c r="Q345" t="s">
        <v>1315</v>
      </c>
      <c r="U345" t="s">
        <v>1492</v>
      </c>
    </row>
    <row r="346" spans="1:21" x14ac:dyDescent="0.25">
      <c r="A346" t="s">
        <v>899</v>
      </c>
      <c r="E346" t="s">
        <v>22</v>
      </c>
      <c r="I346" t="s">
        <v>22</v>
      </c>
      <c r="M346" t="s">
        <v>34</v>
      </c>
      <c r="Q346" t="s">
        <v>22</v>
      </c>
      <c r="U346" t="s">
        <v>34</v>
      </c>
    </row>
    <row r="347" spans="1:21" x14ac:dyDescent="0.25">
      <c r="A347" t="s">
        <v>36</v>
      </c>
      <c r="E347" t="s">
        <v>1017</v>
      </c>
      <c r="I347" t="s">
        <v>1156</v>
      </c>
      <c r="M347" t="s">
        <v>1280</v>
      </c>
      <c r="Q347" t="s">
        <v>1316</v>
      </c>
      <c r="U347" t="s">
        <v>1493</v>
      </c>
    </row>
    <row r="348" spans="1:21" x14ac:dyDescent="0.25">
      <c r="A348" t="s">
        <v>37</v>
      </c>
      <c r="E348" t="s">
        <v>24</v>
      </c>
      <c r="I348" t="s">
        <v>24</v>
      </c>
      <c r="M348" t="s">
        <v>36</v>
      </c>
      <c r="Q348" t="s">
        <v>24</v>
      </c>
      <c r="U348" t="s">
        <v>36</v>
      </c>
    </row>
    <row r="349" spans="1:21" x14ac:dyDescent="0.25">
      <c r="A349" t="s">
        <v>38</v>
      </c>
      <c r="E349" t="s">
        <v>25</v>
      </c>
      <c r="I349" t="s">
        <v>25</v>
      </c>
      <c r="M349" t="s">
        <v>37</v>
      </c>
      <c r="Q349" t="s">
        <v>25</v>
      </c>
      <c r="U349" t="s">
        <v>37</v>
      </c>
    </row>
    <row r="350" spans="1:21" x14ac:dyDescent="0.25">
      <c r="E350" t="s">
        <v>26</v>
      </c>
      <c r="I350" t="s">
        <v>26</v>
      </c>
      <c r="M350" t="s">
        <v>38</v>
      </c>
      <c r="Q350" t="s">
        <v>26</v>
      </c>
      <c r="U350" t="s">
        <v>38</v>
      </c>
    </row>
    <row r="351" spans="1:21" x14ac:dyDescent="0.25">
      <c r="A351" t="s">
        <v>14</v>
      </c>
    </row>
    <row r="352" spans="1:21" x14ac:dyDescent="0.25">
      <c r="A352" t="s">
        <v>15</v>
      </c>
      <c r="E352" t="s">
        <v>8</v>
      </c>
      <c r="I352" t="s">
        <v>8</v>
      </c>
      <c r="M352" t="s">
        <v>14</v>
      </c>
      <c r="Q352" t="s">
        <v>8</v>
      </c>
      <c r="U352" t="s">
        <v>14</v>
      </c>
    </row>
    <row r="353" spans="1:21" x14ac:dyDescent="0.25">
      <c r="A353" t="s">
        <v>900</v>
      </c>
      <c r="E353" t="s">
        <v>9</v>
      </c>
      <c r="I353" t="s">
        <v>9</v>
      </c>
      <c r="M353" t="s">
        <v>15</v>
      </c>
      <c r="Q353" t="s">
        <v>9</v>
      </c>
      <c r="U353" t="s">
        <v>15</v>
      </c>
    </row>
    <row r="354" spans="1:21" x14ac:dyDescent="0.25">
      <c r="A354" t="s">
        <v>16</v>
      </c>
      <c r="E354" t="s">
        <v>1018</v>
      </c>
      <c r="I354" t="s">
        <v>1157</v>
      </c>
      <c r="M354" t="s">
        <v>1281</v>
      </c>
      <c r="Q354" t="s">
        <v>1390</v>
      </c>
      <c r="U354" t="s">
        <v>1494</v>
      </c>
    </row>
    <row r="355" spans="1:21" x14ac:dyDescent="0.25">
      <c r="A355" t="s">
        <v>901</v>
      </c>
      <c r="E355" t="s">
        <v>28</v>
      </c>
      <c r="I355" t="s">
        <v>28</v>
      </c>
      <c r="M355" t="s">
        <v>16</v>
      </c>
      <c r="Q355" t="s">
        <v>28</v>
      </c>
      <c r="U355" t="s">
        <v>16</v>
      </c>
    </row>
    <row r="356" spans="1:21" x14ac:dyDescent="0.25">
      <c r="A356" t="s">
        <v>18</v>
      </c>
      <c r="E356" t="s">
        <v>1019</v>
      </c>
      <c r="I356" t="s">
        <v>1158</v>
      </c>
      <c r="M356" t="s">
        <v>1282</v>
      </c>
      <c r="Q356" t="s">
        <v>1391</v>
      </c>
      <c r="U356" t="s">
        <v>1495</v>
      </c>
    </row>
    <row r="357" spans="1:21" x14ac:dyDescent="0.25">
      <c r="A357" t="s">
        <v>19</v>
      </c>
      <c r="E357" t="s">
        <v>30</v>
      </c>
      <c r="I357" t="s">
        <v>30</v>
      </c>
      <c r="M357" t="s">
        <v>18</v>
      </c>
      <c r="Q357" t="s">
        <v>30</v>
      </c>
      <c r="U357" t="s">
        <v>18</v>
      </c>
    </row>
    <row r="358" spans="1:21" x14ac:dyDescent="0.25">
      <c r="A358" t="s">
        <v>20</v>
      </c>
      <c r="E358" t="s">
        <v>31</v>
      </c>
      <c r="I358" t="s">
        <v>31</v>
      </c>
      <c r="M358" t="s">
        <v>19</v>
      </c>
      <c r="Q358" t="s">
        <v>31</v>
      </c>
      <c r="U358" t="s">
        <v>19</v>
      </c>
    </row>
    <row r="359" spans="1:21" x14ac:dyDescent="0.25">
      <c r="A359" t="s">
        <v>902</v>
      </c>
      <c r="E359" t="s">
        <v>32</v>
      </c>
      <c r="I359" t="s">
        <v>32</v>
      </c>
      <c r="M359" t="s">
        <v>20</v>
      </c>
      <c r="Q359" t="s">
        <v>32</v>
      </c>
      <c r="U359" t="s">
        <v>20</v>
      </c>
    </row>
    <row r="360" spans="1:21" x14ac:dyDescent="0.25">
      <c r="A360" t="s">
        <v>22</v>
      </c>
      <c r="E360" t="s">
        <v>1020</v>
      </c>
      <c r="I360" t="s">
        <v>1159</v>
      </c>
      <c r="M360" t="s">
        <v>1283</v>
      </c>
      <c r="Q360" t="s">
        <v>1392</v>
      </c>
      <c r="U360" t="s">
        <v>1496</v>
      </c>
    </row>
    <row r="361" spans="1:21" x14ac:dyDescent="0.25">
      <c r="A361" t="s">
        <v>903</v>
      </c>
      <c r="E361" t="s">
        <v>34</v>
      </c>
      <c r="I361" t="s">
        <v>34</v>
      </c>
      <c r="M361" t="s">
        <v>22</v>
      </c>
      <c r="Q361" t="s">
        <v>34</v>
      </c>
      <c r="U361" t="s">
        <v>22</v>
      </c>
    </row>
    <row r="362" spans="1:21" x14ac:dyDescent="0.25">
      <c r="A362" t="s">
        <v>24</v>
      </c>
      <c r="E362" t="s">
        <v>1021</v>
      </c>
      <c r="I362" t="s">
        <v>1160</v>
      </c>
      <c r="M362" t="s">
        <v>1284</v>
      </c>
      <c r="Q362" t="s">
        <v>1393</v>
      </c>
      <c r="U362" t="s">
        <v>1497</v>
      </c>
    </row>
    <row r="363" spans="1:21" x14ac:dyDescent="0.25">
      <c r="A363" t="s">
        <v>25</v>
      </c>
      <c r="E363" t="s">
        <v>36</v>
      </c>
      <c r="I363" t="s">
        <v>36</v>
      </c>
      <c r="M363" t="s">
        <v>24</v>
      </c>
      <c r="Q363" t="s">
        <v>36</v>
      </c>
      <c r="U363" t="s">
        <v>24</v>
      </c>
    </row>
    <row r="364" spans="1:21" x14ac:dyDescent="0.25">
      <c r="A364" t="s">
        <v>26</v>
      </c>
      <c r="E364" t="s">
        <v>37</v>
      </c>
      <c r="I364" t="s">
        <v>37</v>
      </c>
      <c r="M364" t="s">
        <v>25</v>
      </c>
      <c r="Q364" t="s">
        <v>37</v>
      </c>
      <c r="U364" t="s">
        <v>25</v>
      </c>
    </row>
    <row r="365" spans="1:21" x14ac:dyDescent="0.25">
      <c r="E365" t="s">
        <v>38</v>
      </c>
      <c r="I365" t="s">
        <v>38</v>
      </c>
      <c r="M365" t="s">
        <v>26</v>
      </c>
      <c r="Q365" t="s">
        <v>38</v>
      </c>
      <c r="U365" t="s">
        <v>26</v>
      </c>
    </row>
    <row r="366" spans="1:21" x14ac:dyDescent="0.25">
      <c r="A366" t="s">
        <v>8</v>
      </c>
    </row>
    <row r="367" spans="1:21" x14ac:dyDescent="0.25">
      <c r="A367" t="s">
        <v>9</v>
      </c>
      <c r="E367" t="s">
        <v>14</v>
      </c>
      <c r="I367" t="s">
        <v>14</v>
      </c>
      <c r="M367" t="s">
        <v>8</v>
      </c>
      <c r="Q367" t="s">
        <v>14</v>
      </c>
      <c r="U367" t="s">
        <v>8</v>
      </c>
    </row>
    <row r="368" spans="1:21" x14ac:dyDescent="0.25">
      <c r="A368" t="s">
        <v>904</v>
      </c>
      <c r="E368" t="s">
        <v>15</v>
      </c>
      <c r="I368" t="s">
        <v>15</v>
      </c>
      <c r="M368" t="s">
        <v>9</v>
      </c>
      <c r="Q368" t="s">
        <v>15</v>
      </c>
      <c r="U368" t="s">
        <v>9</v>
      </c>
    </row>
    <row r="369" spans="1:21" x14ac:dyDescent="0.25">
      <c r="A369" t="s">
        <v>28</v>
      </c>
      <c r="E369" t="s">
        <v>1022</v>
      </c>
      <c r="I369" t="s">
        <v>1161</v>
      </c>
      <c r="M369" t="s">
        <v>1285</v>
      </c>
      <c r="Q369" t="s">
        <v>1394</v>
      </c>
      <c r="U369" t="s">
        <v>1498</v>
      </c>
    </row>
    <row r="370" spans="1:21" x14ac:dyDescent="0.25">
      <c r="A370" t="s">
        <v>905</v>
      </c>
      <c r="E370" t="s">
        <v>16</v>
      </c>
      <c r="I370" t="s">
        <v>16</v>
      </c>
      <c r="M370" t="s">
        <v>28</v>
      </c>
      <c r="Q370" t="s">
        <v>16</v>
      </c>
      <c r="U370" t="s">
        <v>28</v>
      </c>
    </row>
    <row r="371" spans="1:21" x14ac:dyDescent="0.25">
      <c r="A371" t="s">
        <v>30</v>
      </c>
      <c r="E371" t="s">
        <v>1023</v>
      </c>
      <c r="I371" t="s">
        <v>1162</v>
      </c>
      <c r="M371" t="s">
        <v>1286</v>
      </c>
      <c r="Q371" t="s">
        <v>1373</v>
      </c>
      <c r="U371" t="s">
        <v>1499</v>
      </c>
    </row>
    <row r="372" spans="1:21" x14ac:dyDescent="0.25">
      <c r="A372" t="s">
        <v>31</v>
      </c>
      <c r="E372" t="s">
        <v>18</v>
      </c>
      <c r="I372" t="s">
        <v>18</v>
      </c>
      <c r="M372" t="s">
        <v>30</v>
      </c>
      <c r="Q372" t="s">
        <v>18</v>
      </c>
      <c r="U372" t="s">
        <v>30</v>
      </c>
    </row>
    <row r="373" spans="1:21" x14ac:dyDescent="0.25">
      <c r="A373" t="s">
        <v>32</v>
      </c>
      <c r="E373" t="s">
        <v>19</v>
      </c>
      <c r="I373" t="s">
        <v>19</v>
      </c>
      <c r="M373" t="s">
        <v>31</v>
      </c>
      <c r="Q373" t="s">
        <v>19</v>
      </c>
      <c r="U373" t="s">
        <v>31</v>
      </c>
    </row>
    <row r="374" spans="1:21" x14ac:dyDescent="0.25">
      <c r="A374" t="s">
        <v>906</v>
      </c>
      <c r="E374" t="s">
        <v>20</v>
      </c>
      <c r="I374" t="s">
        <v>20</v>
      </c>
      <c r="M374" t="s">
        <v>32</v>
      </c>
      <c r="Q374" t="s">
        <v>20</v>
      </c>
      <c r="U374" t="s">
        <v>32</v>
      </c>
    </row>
    <row r="375" spans="1:21" x14ac:dyDescent="0.25">
      <c r="A375" t="s">
        <v>34</v>
      </c>
      <c r="E375" t="s">
        <v>1024</v>
      </c>
      <c r="I375" t="s">
        <v>1163</v>
      </c>
      <c r="M375" t="s">
        <v>1287</v>
      </c>
      <c r="Q375" t="s">
        <v>1395</v>
      </c>
      <c r="U375" t="s">
        <v>1500</v>
      </c>
    </row>
    <row r="376" spans="1:21" x14ac:dyDescent="0.25">
      <c r="A376" t="s">
        <v>907</v>
      </c>
      <c r="E376" t="s">
        <v>22</v>
      </c>
      <c r="I376" t="s">
        <v>22</v>
      </c>
      <c r="M376" t="s">
        <v>34</v>
      </c>
      <c r="Q376" t="s">
        <v>22</v>
      </c>
      <c r="U376" t="s">
        <v>34</v>
      </c>
    </row>
    <row r="377" spans="1:21" x14ac:dyDescent="0.25">
      <c r="A377" t="s">
        <v>36</v>
      </c>
      <c r="E377" t="s">
        <v>1025</v>
      </c>
      <c r="I377" t="s">
        <v>1164</v>
      </c>
      <c r="M377" t="s">
        <v>1288</v>
      </c>
      <c r="Q377" t="s">
        <v>1396</v>
      </c>
      <c r="U377" t="s">
        <v>1501</v>
      </c>
    </row>
    <row r="378" spans="1:21" x14ac:dyDescent="0.25">
      <c r="A378" t="s">
        <v>37</v>
      </c>
      <c r="E378" t="s">
        <v>24</v>
      </c>
      <c r="I378" t="s">
        <v>24</v>
      </c>
      <c r="M378" t="s">
        <v>36</v>
      </c>
      <c r="Q378" t="s">
        <v>24</v>
      </c>
      <c r="U378" t="s">
        <v>36</v>
      </c>
    </row>
    <row r="379" spans="1:21" x14ac:dyDescent="0.25">
      <c r="A379" t="s">
        <v>38</v>
      </c>
      <c r="E379" t="s">
        <v>25</v>
      </c>
      <c r="I379" t="s">
        <v>25</v>
      </c>
      <c r="M379" t="s">
        <v>37</v>
      </c>
      <c r="Q379" t="s">
        <v>25</v>
      </c>
      <c r="U379" t="s">
        <v>37</v>
      </c>
    </row>
    <row r="380" spans="1:21" x14ac:dyDescent="0.25">
      <c r="E380" t="s">
        <v>26</v>
      </c>
      <c r="I380" t="s">
        <v>26</v>
      </c>
      <c r="M380" t="s">
        <v>38</v>
      </c>
      <c r="Q380" t="s">
        <v>26</v>
      </c>
      <c r="U380" t="s">
        <v>38</v>
      </c>
    </row>
    <row r="381" spans="1:21" x14ac:dyDescent="0.25">
      <c r="A381" t="s">
        <v>14</v>
      </c>
    </row>
    <row r="382" spans="1:21" x14ac:dyDescent="0.25">
      <c r="A382" t="s">
        <v>15</v>
      </c>
      <c r="E382" t="s">
        <v>8</v>
      </c>
      <c r="I382" t="s">
        <v>8</v>
      </c>
      <c r="M382" t="s">
        <v>14</v>
      </c>
      <c r="Q382" t="s">
        <v>8</v>
      </c>
      <c r="U382" t="s">
        <v>14</v>
      </c>
    </row>
    <row r="383" spans="1:21" x14ac:dyDescent="0.25">
      <c r="A383" t="s">
        <v>908</v>
      </c>
      <c r="E383" t="s">
        <v>9</v>
      </c>
      <c r="I383" t="s">
        <v>9</v>
      </c>
      <c r="M383" t="s">
        <v>15</v>
      </c>
      <c r="Q383" t="s">
        <v>9</v>
      </c>
      <c r="U383" t="s">
        <v>15</v>
      </c>
    </row>
    <row r="384" spans="1:21" x14ac:dyDescent="0.25">
      <c r="A384" t="s">
        <v>16</v>
      </c>
      <c r="E384" t="s">
        <v>1026</v>
      </c>
      <c r="I384" t="s">
        <v>1165</v>
      </c>
      <c r="M384" t="s">
        <v>1289</v>
      </c>
      <c r="Q384" t="s">
        <v>1397</v>
      </c>
      <c r="U384" t="s">
        <v>1502</v>
      </c>
    </row>
    <row r="385" spans="1:21" x14ac:dyDescent="0.25">
      <c r="A385" t="s">
        <v>909</v>
      </c>
      <c r="E385" t="s">
        <v>28</v>
      </c>
      <c r="I385" t="s">
        <v>28</v>
      </c>
      <c r="M385" t="s">
        <v>16</v>
      </c>
      <c r="Q385" t="s">
        <v>28</v>
      </c>
      <c r="U385" t="s">
        <v>16</v>
      </c>
    </row>
    <row r="386" spans="1:21" x14ac:dyDescent="0.25">
      <c r="A386" t="s">
        <v>18</v>
      </c>
      <c r="E386" t="s">
        <v>1027</v>
      </c>
      <c r="I386" t="s">
        <v>1166</v>
      </c>
      <c r="M386" t="s">
        <v>1255</v>
      </c>
      <c r="Q386" t="s">
        <v>1377</v>
      </c>
      <c r="U386" t="s">
        <v>1503</v>
      </c>
    </row>
    <row r="387" spans="1:21" x14ac:dyDescent="0.25">
      <c r="A387" t="s">
        <v>19</v>
      </c>
      <c r="E387" t="s">
        <v>30</v>
      </c>
      <c r="I387" t="s">
        <v>30</v>
      </c>
      <c r="M387" t="s">
        <v>18</v>
      </c>
      <c r="Q387" t="s">
        <v>30</v>
      </c>
      <c r="U387" t="s">
        <v>18</v>
      </c>
    </row>
    <row r="388" spans="1:21" x14ac:dyDescent="0.25">
      <c r="A388" t="s">
        <v>20</v>
      </c>
      <c r="E388" t="s">
        <v>31</v>
      </c>
      <c r="I388" t="s">
        <v>31</v>
      </c>
      <c r="M388" t="s">
        <v>19</v>
      </c>
      <c r="Q388" t="s">
        <v>31</v>
      </c>
      <c r="U388" t="s">
        <v>19</v>
      </c>
    </row>
    <row r="389" spans="1:21" x14ac:dyDescent="0.25">
      <c r="A389" t="s">
        <v>910</v>
      </c>
      <c r="E389" t="s">
        <v>32</v>
      </c>
      <c r="I389" t="s">
        <v>32</v>
      </c>
      <c r="M389" t="s">
        <v>20</v>
      </c>
      <c r="Q389" t="s">
        <v>32</v>
      </c>
      <c r="U389" t="s">
        <v>20</v>
      </c>
    </row>
    <row r="390" spans="1:21" x14ac:dyDescent="0.25">
      <c r="A390" t="s">
        <v>22</v>
      </c>
      <c r="E390" t="s">
        <v>1028</v>
      </c>
      <c r="I390" t="s">
        <v>1167</v>
      </c>
      <c r="M390" t="s">
        <v>1290</v>
      </c>
      <c r="Q390" t="s">
        <v>1398</v>
      </c>
      <c r="U390" t="s">
        <v>1504</v>
      </c>
    </row>
    <row r="391" spans="1:21" x14ac:dyDescent="0.25">
      <c r="A391" t="s">
        <v>911</v>
      </c>
      <c r="E391" t="s">
        <v>34</v>
      </c>
      <c r="I391" t="s">
        <v>34</v>
      </c>
      <c r="M391" t="s">
        <v>22</v>
      </c>
      <c r="Q391" t="s">
        <v>34</v>
      </c>
      <c r="U391" t="s">
        <v>22</v>
      </c>
    </row>
    <row r="392" spans="1:21" x14ac:dyDescent="0.25">
      <c r="A392" t="s">
        <v>24</v>
      </c>
      <c r="E392" t="s">
        <v>1029</v>
      </c>
      <c r="I392" t="s">
        <v>1168</v>
      </c>
      <c r="M392" t="s">
        <v>1291</v>
      </c>
      <c r="Q392" t="s">
        <v>1399</v>
      </c>
      <c r="U392" t="s">
        <v>1505</v>
      </c>
    </row>
    <row r="393" spans="1:21" x14ac:dyDescent="0.25">
      <c r="A393" t="s">
        <v>25</v>
      </c>
      <c r="E393" t="s">
        <v>36</v>
      </c>
      <c r="I393" t="s">
        <v>36</v>
      </c>
      <c r="M393" t="s">
        <v>24</v>
      </c>
      <c r="Q393" t="s">
        <v>36</v>
      </c>
      <c r="U393" t="s">
        <v>24</v>
      </c>
    </row>
    <row r="394" spans="1:21" x14ac:dyDescent="0.25">
      <c r="A394" t="s">
        <v>26</v>
      </c>
      <c r="E394" t="s">
        <v>37</v>
      </c>
      <c r="I394" t="s">
        <v>37</v>
      </c>
      <c r="M394" t="s">
        <v>25</v>
      </c>
      <c r="Q394" t="s">
        <v>37</v>
      </c>
      <c r="U394" t="s">
        <v>25</v>
      </c>
    </row>
    <row r="395" spans="1:21" x14ac:dyDescent="0.25">
      <c r="E395" t="s">
        <v>38</v>
      </c>
      <c r="I395" t="s">
        <v>38</v>
      </c>
      <c r="M395" t="s">
        <v>26</v>
      </c>
      <c r="Q395" t="s">
        <v>38</v>
      </c>
      <c r="U395" t="s">
        <v>26</v>
      </c>
    </row>
    <row r="396" spans="1:21" x14ac:dyDescent="0.25">
      <c r="A396" t="s">
        <v>8</v>
      </c>
    </row>
    <row r="397" spans="1:21" x14ac:dyDescent="0.25">
      <c r="A397" t="s">
        <v>9</v>
      </c>
      <c r="E397" t="s">
        <v>14</v>
      </c>
      <c r="I397" t="s">
        <v>14</v>
      </c>
      <c r="M397" t="s">
        <v>8</v>
      </c>
      <c r="Q397" t="s">
        <v>14</v>
      </c>
      <c r="U397" t="s">
        <v>8</v>
      </c>
    </row>
    <row r="398" spans="1:21" x14ac:dyDescent="0.25">
      <c r="A398" t="s">
        <v>912</v>
      </c>
      <c r="E398" t="s">
        <v>15</v>
      </c>
      <c r="I398" t="s">
        <v>15</v>
      </c>
      <c r="M398" t="s">
        <v>9</v>
      </c>
      <c r="Q398" t="s">
        <v>15</v>
      </c>
      <c r="U398" t="s">
        <v>9</v>
      </c>
    </row>
    <row r="399" spans="1:21" x14ac:dyDescent="0.25">
      <c r="A399" t="s">
        <v>28</v>
      </c>
      <c r="E399" t="s">
        <v>1030</v>
      </c>
      <c r="I399" t="s">
        <v>1169</v>
      </c>
      <c r="M399" t="s">
        <v>1292</v>
      </c>
      <c r="Q399" t="s">
        <v>1400</v>
      </c>
      <c r="U399" t="s">
        <v>1506</v>
      </c>
    </row>
    <row r="400" spans="1:21" x14ac:dyDescent="0.25">
      <c r="A400" t="s">
        <v>913</v>
      </c>
      <c r="E400" t="s">
        <v>16</v>
      </c>
      <c r="I400" t="s">
        <v>16</v>
      </c>
      <c r="M400" t="s">
        <v>28</v>
      </c>
      <c r="Q400" t="s">
        <v>16</v>
      </c>
      <c r="U400" t="s">
        <v>28</v>
      </c>
    </row>
    <row r="401" spans="1:21" x14ac:dyDescent="0.25">
      <c r="A401" t="s">
        <v>30</v>
      </c>
      <c r="E401" t="s">
        <v>1031</v>
      </c>
      <c r="I401" t="s">
        <v>1170</v>
      </c>
      <c r="M401" t="s">
        <v>1259</v>
      </c>
      <c r="Q401" t="s">
        <v>1401</v>
      </c>
      <c r="U401" t="s">
        <v>1507</v>
      </c>
    </row>
    <row r="402" spans="1:21" x14ac:dyDescent="0.25">
      <c r="A402" t="s">
        <v>31</v>
      </c>
      <c r="E402" t="s">
        <v>18</v>
      </c>
      <c r="I402" t="s">
        <v>18</v>
      </c>
      <c r="M402" t="s">
        <v>30</v>
      </c>
      <c r="Q402" t="s">
        <v>18</v>
      </c>
      <c r="U402" t="s">
        <v>30</v>
      </c>
    </row>
    <row r="403" spans="1:21" x14ac:dyDescent="0.25">
      <c r="A403" t="s">
        <v>32</v>
      </c>
      <c r="E403" t="s">
        <v>19</v>
      </c>
      <c r="I403" t="s">
        <v>19</v>
      </c>
      <c r="M403" t="s">
        <v>31</v>
      </c>
      <c r="Q403" t="s">
        <v>19</v>
      </c>
      <c r="U403" t="s">
        <v>31</v>
      </c>
    </row>
    <row r="404" spans="1:21" x14ac:dyDescent="0.25">
      <c r="A404" t="s">
        <v>914</v>
      </c>
      <c r="E404" t="s">
        <v>20</v>
      </c>
      <c r="I404" t="s">
        <v>20</v>
      </c>
      <c r="M404" t="s">
        <v>32</v>
      </c>
      <c r="Q404" t="s">
        <v>20</v>
      </c>
      <c r="U404" t="s">
        <v>32</v>
      </c>
    </row>
    <row r="405" spans="1:21" x14ac:dyDescent="0.25">
      <c r="A405" t="s">
        <v>34</v>
      </c>
      <c r="E405" t="s">
        <v>1032</v>
      </c>
      <c r="I405" t="s">
        <v>1171</v>
      </c>
      <c r="M405" t="s">
        <v>1293</v>
      </c>
      <c r="Q405" t="s">
        <v>1402</v>
      </c>
      <c r="U405" t="s">
        <v>1508</v>
      </c>
    </row>
    <row r="406" spans="1:21" x14ac:dyDescent="0.25">
      <c r="A406" t="s">
        <v>915</v>
      </c>
      <c r="E406" t="s">
        <v>22</v>
      </c>
      <c r="I406" t="s">
        <v>22</v>
      </c>
      <c r="M406" t="s">
        <v>34</v>
      </c>
      <c r="Q406" t="s">
        <v>22</v>
      </c>
      <c r="U406" t="s">
        <v>34</v>
      </c>
    </row>
    <row r="407" spans="1:21" x14ac:dyDescent="0.25">
      <c r="A407" t="s">
        <v>36</v>
      </c>
      <c r="E407" t="s">
        <v>1033</v>
      </c>
      <c r="I407" t="s">
        <v>1172</v>
      </c>
      <c r="M407" t="s">
        <v>1294</v>
      </c>
      <c r="Q407" t="s">
        <v>1403</v>
      </c>
      <c r="U407" t="s">
        <v>1509</v>
      </c>
    </row>
    <row r="408" spans="1:21" x14ac:dyDescent="0.25">
      <c r="A408" t="s">
        <v>37</v>
      </c>
      <c r="E408" t="s">
        <v>24</v>
      </c>
      <c r="I408" t="s">
        <v>24</v>
      </c>
      <c r="M408" t="s">
        <v>36</v>
      </c>
      <c r="Q408" t="s">
        <v>24</v>
      </c>
      <c r="U408" t="s">
        <v>36</v>
      </c>
    </row>
    <row r="409" spans="1:21" x14ac:dyDescent="0.25">
      <c r="A409" t="s">
        <v>38</v>
      </c>
      <c r="E409" t="s">
        <v>25</v>
      </c>
      <c r="I409" t="s">
        <v>25</v>
      </c>
      <c r="M409" t="s">
        <v>37</v>
      </c>
      <c r="Q409" t="s">
        <v>25</v>
      </c>
      <c r="U409" t="s">
        <v>37</v>
      </c>
    </row>
    <row r="410" spans="1:21" x14ac:dyDescent="0.25">
      <c r="E410" t="s">
        <v>26</v>
      </c>
      <c r="I410" t="s">
        <v>26</v>
      </c>
      <c r="M410" t="s">
        <v>38</v>
      </c>
      <c r="Q410" t="s">
        <v>26</v>
      </c>
      <c r="U410" t="s">
        <v>38</v>
      </c>
    </row>
    <row r="411" spans="1:21" x14ac:dyDescent="0.25">
      <c r="A411" t="s">
        <v>14</v>
      </c>
    </row>
    <row r="412" spans="1:21" x14ac:dyDescent="0.25">
      <c r="A412" t="s">
        <v>15</v>
      </c>
      <c r="E412" t="s">
        <v>8</v>
      </c>
      <c r="I412" t="s">
        <v>8</v>
      </c>
      <c r="M412" t="s">
        <v>14</v>
      </c>
      <c r="Q412" t="s">
        <v>8</v>
      </c>
      <c r="U412" t="s">
        <v>14</v>
      </c>
    </row>
    <row r="413" spans="1:21" x14ac:dyDescent="0.25">
      <c r="A413" t="s">
        <v>916</v>
      </c>
      <c r="E413" t="s">
        <v>9</v>
      </c>
      <c r="I413" t="s">
        <v>9</v>
      </c>
      <c r="M413" t="s">
        <v>15</v>
      </c>
      <c r="Q413" t="s">
        <v>9</v>
      </c>
      <c r="U413" t="s">
        <v>15</v>
      </c>
    </row>
    <row r="414" spans="1:21" x14ac:dyDescent="0.25">
      <c r="A414" t="s">
        <v>16</v>
      </c>
      <c r="E414" t="s">
        <v>1034</v>
      </c>
      <c r="I414" t="s">
        <v>1173</v>
      </c>
      <c r="M414" t="s">
        <v>1295</v>
      </c>
      <c r="Q414" t="s">
        <v>1404</v>
      </c>
      <c r="U414" t="s">
        <v>1510</v>
      </c>
    </row>
    <row r="415" spans="1:21" x14ac:dyDescent="0.25">
      <c r="A415" t="s">
        <v>917</v>
      </c>
      <c r="E415" t="s">
        <v>28</v>
      </c>
      <c r="I415" t="s">
        <v>28</v>
      </c>
      <c r="M415" t="s">
        <v>16</v>
      </c>
      <c r="Q415" t="s">
        <v>28</v>
      </c>
      <c r="U415" t="s">
        <v>16</v>
      </c>
    </row>
    <row r="416" spans="1:21" x14ac:dyDescent="0.25">
      <c r="A416" t="s">
        <v>18</v>
      </c>
      <c r="E416" t="s">
        <v>1035</v>
      </c>
      <c r="I416" t="s">
        <v>453</v>
      </c>
      <c r="M416" t="s">
        <v>1239</v>
      </c>
      <c r="Q416" t="s">
        <v>1310</v>
      </c>
      <c r="U416" t="s">
        <v>1511</v>
      </c>
    </row>
    <row r="417" spans="1:21" x14ac:dyDescent="0.25">
      <c r="A417" t="s">
        <v>19</v>
      </c>
      <c r="E417" t="s">
        <v>30</v>
      </c>
      <c r="I417" t="s">
        <v>30</v>
      </c>
      <c r="M417" t="s">
        <v>18</v>
      </c>
      <c r="Q417" t="s">
        <v>30</v>
      </c>
      <c r="U417" t="s">
        <v>18</v>
      </c>
    </row>
    <row r="418" spans="1:21" x14ac:dyDescent="0.25">
      <c r="A418" t="s">
        <v>20</v>
      </c>
      <c r="E418" t="s">
        <v>31</v>
      </c>
      <c r="I418" t="s">
        <v>31</v>
      </c>
      <c r="M418" t="s">
        <v>19</v>
      </c>
      <c r="Q418" t="s">
        <v>31</v>
      </c>
      <c r="U418" t="s">
        <v>19</v>
      </c>
    </row>
    <row r="419" spans="1:21" x14ac:dyDescent="0.25">
      <c r="A419" t="s">
        <v>918</v>
      </c>
      <c r="E419" t="s">
        <v>32</v>
      </c>
      <c r="I419" t="s">
        <v>32</v>
      </c>
      <c r="M419" t="s">
        <v>20</v>
      </c>
      <c r="Q419" t="s">
        <v>32</v>
      </c>
      <c r="U419" t="s">
        <v>20</v>
      </c>
    </row>
    <row r="420" spans="1:21" x14ac:dyDescent="0.25">
      <c r="A420" t="s">
        <v>22</v>
      </c>
      <c r="E420" t="s">
        <v>1036</v>
      </c>
      <c r="I420" t="s">
        <v>1174</v>
      </c>
      <c r="M420" t="s">
        <v>1296</v>
      </c>
      <c r="Q420" t="s">
        <v>1405</v>
      </c>
      <c r="U420" t="s">
        <v>1512</v>
      </c>
    </row>
    <row r="421" spans="1:21" x14ac:dyDescent="0.25">
      <c r="A421" t="s">
        <v>919</v>
      </c>
      <c r="E421" t="s">
        <v>34</v>
      </c>
      <c r="I421" t="s">
        <v>34</v>
      </c>
      <c r="M421" t="s">
        <v>22</v>
      </c>
      <c r="Q421" t="s">
        <v>34</v>
      </c>
      <c r="U421" t="s">
        <v>22</v>
      </c>
    </row>
    <row r="422" spans="1:21" x14ac:dyDescent="0.25">
      <c r="A422" t="s">
        <v>24</v>
      </c>
      <c r="E422" t="s">
        <v>1037</v>
      </c>
      <c r="I422" t="s">
        <v>1175</v>
      </c>
      <c r="M422" t="s">
        <v>1297</v>
      </c>
      <c r="Q422" t="s">
        <v>1406</v>
      </c>
      <c r="U422" t="s">
        <v>1513</v>
      </c>
    </row>
    <row r="423" spans="1:21" x14ac:dyDescent="0.25">
      <c r="A423" t="s">
        <v>25</v>
      </c>
      <c r="E423" t="s">
        <v>36</v>
      </c>
      <c r="I423" t="s">
        <v>36</v>
      </c>
      <c r="M423" t="s">
        <v>24</v>
      </c>
      <c r="Q423" t="s">
        <v>36</v>
      </c>
      <c r="U423" t="s">
        <v>24</v>
      </c>
    </row>
    <row r="424" spans="1:21" x14ac:dyDescent="0.25">
      <c r="A424" t="s">
        <v>26</v>
      </c>
      <c r="E424" t="s">
        <v>37</v>
      </c>
      <c r="I424" t="s">
        <v>37</v>
      </c>
      <c r="M424" t="s">
        <v>25</v>
      </c>
      <c r="Q424" t="s">
        <v>37</v>
      </c>
      <c r="U424" t="s">
        <v>25</v>
      </c>
    </row>
    <row r="425" spans="1:21" x14ac:dyDescent="0.25">
      <c r="E425" t="s">
        <v>38</v>
      </c>
      <c r="I425" t="s">
        <v>38</v>
      </c>
      <c r="M425" t="s">
        <v>26</v>
      </c>
      <c r="Q425" t="s">
        <v>38</v>
      </c>
      <c r="U425" t="s">
        <v>26</v>
      </c>
    </row>
    <row r="426" spans="1:21" x14ac:dyDescent="0.25">
      <c r="A426" t="s">
        <v>8</v>
      </c>
    </row>
    <row r="427" spans="1:21" x14ac:dyDescent="0.25">
      <c r="A427" t="s">
        <v>9</v>
      </c>
      <c r="E427" t="s">
        <v>14</v>
      </c>
      <c r="I427" t="s">
        <v>14</v>
      </c>
      <c r="M427" t="s">
        <v>8</v>
      </c>
      <c r="Q427" t="s">
        <v>14</v>
      </c>
      <c r="U427" t="s">
        <v>8</v>
      </c>
    </row>
    <row r="428" spans="1:21" x14ac:dyDescent="0.25">
      <c r="A428" t="s">
        <v>920</v>
      </c>
      <c r="E428" t="s">
        <v>15</v>
      </c>
      <c r="I428" t="s">
        <v>15</v>
      </c>
      <c r="M428" t="s">
        <v>9</v>
      </c>
      <c r="Q428" t="s">
        <v>15</v>
      </c>
      <c r="U428" t="s">
        <v>9</v>
      </c>
    </row>
    <row r="429" spans="1:21" x14ac:dyDescent="0.25">
      <c r="A429" t="s">
        <v>28</v>
      </c>
      <c r="E429" t="s">
        <v>1038</v>
      </c>
      <c r="I429" t="s">
        <v>1176</v>
      </c>
      <c r="M429" t="s">
        <v>1298</v>
      </c>
      <c r="Q429" t="s">
        <v>1407</v>
      </c>
      <c r="U429" t="s">
        <v>1514</v>
      </c>
    </row>
    <row r="430" spans="1:21" x14ac:dyDescent="0.25">
      <c r="A430" t="s">
        <v>905</v>
      </c>
      <c r="E430" t="s">
        <v>16</v>
      </c>
      <c r="I430" t="s">
        <v>16</v>
      </c>
      <c r="M430" t="s">
        <v>28</v>
      </c>
      <c r="Q430" t="s">
        <v>16</v>
      </c>
      <c r="U430" t="s">
        <v>28</v>
      </c>
    </row>
    <row r="431" spans="1:21" x14ac:dyDescent="0.25">
      <c r="A431" t="s">
        <v>30</v>
      </c>
      <c r="E431" t="s">
        <v>1039</v>
      </c>
      <c r="I431" t="s">
        <v>1177</v>
      </c>
      <c r="M431" t="s">
        <v>1299</v>
      </c>
      <c r="Q431" t="s">
        <v>1401</v>
      </c>
      <c r="U431" t="s">
        <v>1515</v>
      </c>
    </row>
    <row r="432" spans="1:21" x14ac:dyDescent="0.25">
      <c r="A432" t="s">
        <v>31</v>
      </c>
      <c r="E432" t="s">
        <v>18</v>
      </c>
      <c r="I432" t="s">
        <v>18</v>
      </c>
      <c r="M432" t="s">
        <v>30</v>
      </c>
      <c r="Q432" t="s">
        <v>18</v>
      </c>
      <c r="U432" t="s">
        <v>30</v>
      </c>
    </row>
    <row r="433" spans="1:21" x14ac:dyDescent="0.25">
      <c r="A433" t="s">
        <v>32</v>
      </c>
      <c r="E433" t="s">
        <v>19</v>
      </c>
      <c r="I433" t="s">
        <v>19</v>
      </c>
      <c r="M433" t="s">
        <v>31</v>
      </c>
      <c r="Q433" t="s">
        <v>19</v>
      </c>
      <c r="U433" t="s">
        <v>31</v>
      </c>
    </row>
    <row r="434" spans="1:21" x14ac:dyDescent="0.25">
      <c r="A434" t="s">
        <v>921</v>
      </c>
      <c r="E434" t="s">
        <v>20</v>
      </c>
      <c r="I434" t="s">
        <v>20</v>
      </c>
      <c r="M434" t="s">
        <v>32</v>
      </c>
      <c r="Q434" t="s">
        <v>20</v>
      </c>
      <c r="U434" t="s">
        <v>32</v>
      </c>
    </row>
    <row r="435" spans="1:21" x14ac:dyDescent="0.25">
      <c r="A435" t="s">
        <v>34</v>
      </c>
      <c r="E435" t="s">
        <v>1040</v>
      </c>
      <c r="I435" t="s">
        <v>1178</v>
      </c>
      <c r="M435" t="s">
        <v>1300</v>
      </c>
      <c r="Q435" t="s">
        <v>1408</v>
      </c>
      <c r="U435" t="s">
        <v>1516</v>
      </c>
    </row>
    <row r="436" spans="1:21" x14ac:dyDescent="0.25">
      <c r="A436" t="s">
        <v>922</v>
      </c>
      <c r="E436" t="s">
        <v>22</v>
      </c>
      <c r="I436" t="s">
        <v>22</v>
      </c>
      <c r="M436" t="s">
        <v>34</v>
      </c>
      <c r="Q436" t="s">
        <v>22</v>
      </c>
      <c r="U436" t="s">
        <v>34</v>
      </c>
    </row>
    <row r="437" spans="1:21" x14ac:dyDescent="0.25">
      <c r="A437" t="s">
        <v>36</v>
      </c>
      <c r="E437" t="s">
        <v>1041</v>
      </c>
      <c r="I437" t="s">
        <v>1179</v>
      </c>
      <c r="M437" t="s">
        <v>1301</v>
      </c>
      <c r="Q437" t="s">
        <v>1409</v>
      </c>
      <c r="U437" t="s">
        <v>1517</v>
      </c>
    </row>
    <row r="438" spans="1:21" x14ac:dyDescent="0.25">
      <c r="A438" t="s">
        <v>37</v>
      </c>
      <c r="E438" t="s">
        <v>24</v>
      </c>
      <c r="I438" t="s">
        <v>24</v>
      </c>
      <c r="M438" t="s">
        <v>36</v>
      </c>
      <c r="Q438" t="s">
        <v>24</v>
      </c>
      <c r="U438" t="s">
        <v>36</v>
      </c>
    </row>
    <row r="439" spans="1:21" x14ac:dyDescent="0.25">
      <c r="A439" t="s">
        <v>38</v>
      </c>
      <c r="E439" t="s">
        <v>25</v>
      </c>
      <c r="I439" t="s">
        <v>25</v>
      </c>
      <c r="M439" t="s">
        <v>37</v>
      </c>
      <c r="Q439" t="s">
        <v>25</v>
      </c>
      <c r="U439" t="s">
        <v>37</v>
      </c>
    </row>
    <row r="440" spans="1:21" x14ac:dyDescent="0.25">
      <c r="E440" t="s">
        <v>26</v>
      </c>
      <c r="I440" t="s">
        <v>26</v>
      </c>
      <c r="M440" t="s">
        <v>38</v>
      </c>
      <c r="Q440" t="s">
        <v>26</v>
      </c>
      <c r="U440" t="s">
        <v>38</v>
      </c>
    </row>
    <row r="441" spans="1:21" x14ac:dyDescent="0.25">
      <c r="A441" t="s">
        <v>14</v>
      </c>
    </row>
    <row r="442" spans="1:21" x14ac:dyDescent="0.25">
      <c r="A442" t="s">
        <v>15</v>
      </c>
      <c r="E442" t="s">
        <v>8</v>
      </c>
      <c r="I442" t="s">
        <v>8</v>
      </c>
      <c r="M442" t="s">
        <v>14</v>
      </c>
      <c r="Q442" t="s">
        <v>8</v>
      </c>
      <c r="U442" t="s">
        <v>14</v>
      </c>
    </row>
    <row r="443" spans="1:21" x14ac:dyDescent="0.25">
      <c r="A443" t="s">
        <v>923</v>
      </c>
      <c r="E443" t="s">
        <v>9</v>
      </c>
      <c r="I443" t="s">
        <v>9</v>
      </c>
      <c r="M443" t="s">
        <v>15</v>
      </c>
      <c r="Q443" t="s">
        <v>9</v>
      </c>
      <c r="U443" t="s">
        <v>15</v>
      </c>
    </row>
    <row r="444" spans="1:21" x14ac:dyDescent="0.25">
      <c r="A444" t="s">
        <v>16</v>
      </c>
      <c r="E444" t="s">
        <v>1042</v>
      </c>
      <c r="I444" t="s">
        <v>1180</v>
      </c>
      <c r="M444" t="s">
        <v>1302</v>
      </c>
      <c r="Q444" t="s">
        <v>1410</v>
      </c>
      <c r="U444" t="s">
        <v>1518</v>
      </c>
    </row>
    <row r="445" spans="1:21" x14ac:dyDescent="0.25">
      <c r="A445" t="s">
        <v>924</v>
      </c>
      <c r="E445" t="s">
        <v>28</v>
      </c>
      <c r="I445" t="s">
        <v>28</v>
      </c>
      <c r="M445" t="s">
        <v>16</v>
      </c>
      <c r="Q445" t="s">
        <v>28</v>
      </c>
      <c r="U445" t="s">
        <v>16</v>
      </c>
    </row>
    <row r="446" spans="1:21" x14ac:dyDescent="0.25">
      <c r="A446" t="s">
        <v>18</v>
      </c>
      <c r="E446" t="s">
        <v>1035</v>
      </c>
      <c r="I446" t="s">
        <v>1181</v>
      </c>
      <c r="M446" t="s">
        <v>1303</v>
      </c>
      <c r="Q446" t="s">
        <v>1411</v>
      </c>
      <c r="U446" t="s">
        <v>1519</v>
      </c>
    </row>
    <row r="447" spans="1:21" x14ac:dyDescent="0.25">
      <c r="A447" t="s">
        <v>19</v>
      </c>
      <c r="E447" t="s">
        <v>30</v>
      </c>
      <c r="I447" t="s">
        <v>30</v>
      </c>
      <c r="M447" t="s">
        <v>18</v>
      </c>
      <c r="Q447" t="s">
        <v>30</v>
      </c>
      <c r="U447" t="s">
        <v>18</v>
      </c>
    </row>
    <row r="448" spans="1:21" x14ac:dyDescent="0.25">
      <c r="A448" t="s">
        <v>20</v>
      </c>
      <c r="E448" t="s">
        <v>31</v>
      </c>
      <c r="I448" t="s">
        <v>31</v>
      </c>
      <c r="M448" t="s">
        <v>19</v>
      </c>
      <c r="Q448" t="s">
        <v>31</v>
      </c>
      <c r="U448" t="s">
        <v>19</v>
      </c>
    </row>
    <row r="449" spans="1:21" x14ac:dyDescent="0.25">
      <c r="A449" t="s">
        <v>925</v>
      </c>
      <c r="E449" t="s">
        <v>32</v>
      </c>
      <c r="I449" t="s">
        <v>32</v>
      </c>
      <c r="M449" t="s">
        <v>20</v>
      </c>
      <c r="Q449" t="s">
        <v>32</v>
      </c>
      <c r="U449" t="s">
        <v>20</v>
      </c>
    </row>
    <row r="450" spans="1:21" x14ac:dyDescent="0.25">
      <c r="A450" t="s">
        <v>22</v>
      </c>
      <c r="E450" t="s">
        <v>1043</v>
      </c>
      <c r="I450" t="s">
        <v>1182</v>
      </c>
      <c r="M450" t="s">
        <v>1304</v>
      </c>
      <c r="Q450" t="s">
        <v>1412</v>
      </c>
      <c r="U450" t="s">
        <v>1520</v>
      </c>
    </row>
    <row r="451" spans="1:21" x14ac:dyDescent="0.25">
      <c r="A451" t="s">
        <v>926</v>
      </c>
      <c r="E451" t="s">
        <v>34</v>
      </c>
      <c r="I451" t="s">
        <v>34</v>
      </c>
      <c r="M451" t="s">
        <v>22</v>
      </c>
      <c r="Q451" t="s">
        <v>34</v>
      </c>
      <c r="U451" t="s">
        <v>22</v>
      </c>
    </row>
    <row r="452" spans="1:21" x14ac:dyDescent="0.25">
      <c r="A452" t="s">
        <v>24</v>
      </c>
      <c r="E452" t="s">
        <v>1044</v>
      </c>
      <c r="I452" t="s">
        <v>1183</v>
      </c>
      <c r="M452" t="s">
        <v>1305</v>
      </c>
      <c r="Q452" t="s">
        <v>1413</v>
      </c>
      <c r="U452" t="s">
        <v>1521</v>
      </c>
    </row>
    <row r="453" spans="1:21" x14ac:dyDescent="0.25">
      <c r="A453" t="s">
        <v>25</v>
      </c>
      <c r="E453" t="s">
        <v>36</v>
      </c>
      <c r="I453" t="s">
        <v>36</v>
      </c>
      <c r="M453" t="s">
        <v>24</v>
      </c>
      <c r="Q453" t="s">
        <v>36</v>
      </c>
      <c r="U453" t="s">
        <v>24</v>
      </c>
    </row>
    <row r="454" spans="1:21" x14ac:dyDescent="0.25">
      <c r="A454" t="s">
        <v>26</v>
      </c>
      <c r="E454" t="s">
        <v>37</v>
      </c>
      <c r="I454" t="s">
        <v>37</v>
      </c>
      <c r="M454" t="s">
        <v>25</v>
      </c>
      <c r="Q454" t="s">
        <v>37</v>
      </c>
      <c r="U454" t="s">
        <v>25</v>
      </c>
    </row>
    <row r="455" spans="1:21" x14ac:dyDescent="0.25">
      <c r="E455" t="s">
        <v>38</v>
      </c>
      <c r="I455" t="s">
        <v>38</v>
      </c>
      <c r="M455" t="s">
        <v>26</v>
      </c>
      <c r="Q455" t="s">
        <v>38</v>
      </c>
      <c r="U455" t="s">
        <v>26</v>
      </c>
    </row>
    <row r="456" spans="1:21" x14ac:dyDescent="0.25">
      <c r="A456" t="s">
        <v>12</v>
      </c>
    </row>
    <row r="457" spans="1:21" x14ac:dyDescent="0.25">
      <c r="A457" t="s">
        <v>13</v>
      </c>
      <c r="E457" t="s">
        <v>10</v>
      </c>
      <c r="I457" t="s">
        <v>14</v>
      </c>
      <c r="M457" t="s">
        <v>12</v>
      </c>
      <c r="Q457" t="s">
        <v>10</v>
      </c>
      <c r="U457" t="s">
        <v>12</v>
      </c>
    </row>
    <row r="458" spans="1:21" x14ac:dyDescent="0.25">
      <c r="A458" t="s">
        <v>10</v>
      </c>
      <c r="E458" t="s">
        <v>11</v>
      </c>
      <c r="I458" t="s">
        <v>15</v>
      </c>
      <c r="M458" t="s">
        <v>13</v>
      </c>
      <c r="Q458" t="s">
        <v>11</v>
      </c>
      <c r="U458" t="s">
        <v>13</v>
      </c>
    </row>
    <row r="459" spans="1:21" x14ac:dyDescent="0.25">
      <c r="A459" t="s">
        <v>11</v>
      </c>
      <c r="E459" t="s">
        <v>12</v>
      </c>
      <c r="I459" t="s">
        <v>1184</v>
      </c>
      <c r="M459" t="s">
        <v>10</v>
      </c>
      <c r="Q459" t="s">
        <v>12</v>
      </c>
      <c r="U459" t="s">
        <v>10</v>
      </c>
    </row>
    <row r="460" spans="1:21" x14ac:dyDescent="0.25">
      <c r="A460" t="s">
        <v>8</v>
      </c>
      <c r="E460" t="s">
        <v>13</v>
      </c>
      <c r="I460" t="s">
        <v>16</v>
      </c>
      <c r="M460" t="s">
        <v>11</v>
      </c>
      <c r="Q460" t="s">
        <v>13</v>
      </c>
      <c r="U460" t="s">
        <v>11</v>
      </c>
    </row>
    <row r="461" spans="1:21" x14ac:dyDescent="0.25">
      <c r="A461" t="s">
        <v>9</v>
      </c>
      <c r="E461" t="s">
        <v>14</v>
      </c>
      <c r="I461" t="s">
        <v>1185</v>
      </c>
      <c r="M461" t="s">
        <v>8</v>
      </c>
      <c r="Q461" t="s">
        <v>14</v>
      </c>
      <c r="U461" t="s">
        <v>8</v>
      </c>
    </row>
    <row r="462" spans="1:21" x14ac:dyDescent="0.25">
      <c r="A462" t="s">
        <v>927</v>
      </c>
      <c r="E462" t="s">
        <v>15</v>
      </c>
      <c r="I462" t="s">
        <v>18</v>
      </c>
      <c r="M462" t="s">
        <v>9</v>
      </c>
      <c r="Q462" t="s">
        <v>15</v>
      </c>
      <c r="U462" t="s">
        <v>9</v>
      </c>
    </row>
    <row r="463" spans="1:21" x14ac:dyDescent="0.25">
      <c r="A463" t="s">
        <v>28</v>
      </c>
      <c r="E463" t="s">
        <v>1045</v>
      </c>
      <c r="I463" t="s">
        <v>19</v>
      </c>
      <c r="M463" t="s">
        <v>1306</v>
      </c>
      <c r="Q463" t="s">
        <v>1414</v>
      </c>
      <c r="U463" t="s">
        <v>1522</v>
      </c>
    </row>
    <row r="464" spans="1:21" x14ac:dyDescent="0.25">
      <c r="A464" t="s">
        <v>928</v>
      </c>
      <c r="E464" t="s">
        <v>16</v>
      </c>
      <c r="I464" t="s">
        <v>20</v>
      </c>
      <c r="M464" t="s">
        <v>28</v>
      </c>
      <c r="Q464" t="s">
        <v>16</v>
      </c>
      <c r="U464" t="s">
        <v>28</v>
      </c>
    </row>
    <row r="465" spans="1:21" x14ac:dyDescent="0.25">
      <c r="A465" t="s">
        <v>30</v>
      </c>
      <c r="E465" t="s">
        <v>1039</v>
      </c>
      <c r="I465" t="s">
        <v>1186</v>
      </c>
      <c r="M465" t="s">
        <v>1243</v>
      </c>
      <c r="Q465" t="s">
        <v>1401</v>
      </c>
      <c r="U465" t="s">
        <v>1523</v>
      </c>
    </row>
    <row r="466" spans="1:21" x14ac:dyDescent="0.25">
      <c r="A466" t="s">
        <v>31</v>
      </c>
      <c r="E466" t="s">
        <v>18</v>
      </c>
      <c r="I466" t="s">
        <v>22</v>
      </c>
      <c r="M466" t="s">
        <v>30</v>
      </c>
      <c r="Q466" t="s">
        <v>18</v>
      </c>
      <c r="U466" t="s">
        <v>30</v>
      </c>
    </row>
    <row r="467" spans="1:21" x14ac:dyDescent="0.25">
      <c r="A467" t="s">
        <v>32</v>
      </c>
      <c r="E467" t="s">
        <v>19</v>
      </c>
      <c r="I467" t="s">
        <v>1187</v>
      </c>
      <c r="M467" t="s">
        <v>31</v>
      </c>
      <c r="Q467" t="s">
        <v>19</v>
      </c>
      <c r="U467" t="s">
        <v>31</v>
      </c>
    </row>
    <row r="468" spans="1:21" x14ac:dyDescent="0.25">
      <c r="A468" t="s">
        <v>929</v>
      </c>
      <c r="E468" t="s">
        <v>20</v>
      </c>
      <c r="I468" t="s">
        <v>24</v>
      </c>
      <c r="M468" t="s">
        <v>32</v>
      </c>
      <c r="Q468" t="s">
        <v>20</v>
      </c>
      <c r="U468" t="s">
        <v>32</v>
      </c>
    </row>
    <row r="469" spans="1:21" x14ac:dyDescent="0.25">
      <c r="A469" t="s">
        <v>34</v>
      </c>
      <c r="E469" t="s">
        <v>1046</v>
      </c>
      <c r="I469" t="s">
        <v>25</v>
      </c>
      <c r="M469" t="s">
        <v>1307</v>
      </c>
      <c r="Q469" t="s">
        <v>1415</v>
      </c>
      <c r="U469" t="s">
        <v>1524</v>
      </c>
    </row>
    <row r="470" spans="1:21" x14ac:dyDescent="0.25">
      <c r="A470" t="s">
        <v>930</v>
      </c>
      <c r="E470" t="s">
        <v>22</v>
      </c>
      <c r="I470" t="s">
        <v>26</v>
      </c>
      <c r="M470" t="s">
        <v>34</v>
      </c>
      <c r="Q470" t="s">
        <v>22</v>
      </c>
      <c r="U470" t="s">
        <v>34</v>
      </c>
    </row>
    <row r="471" spans="1:21" x14ac:dyDescent="0.25">
      <c r="A471" t="s">
        <v>36</v>
      </c>
      <c r="E471" t="s">
        <v>1047</v>
      </c>
      <c r="M471" t="s">
        <v>1308</v>
      </c>
      <c r="Q471" t="s">
        <v>1416</v>
      </c>
      <c r="U471" t="s">
        <v>1525</v>
      </c>
    </row>
    <row r="472" spans="1:21" x14ac:dyDescent="0.25">
      <c r="A472" t="s">
        <v>37</v>
      </c>
      <c r="E472" t="s">
        <v>24</v>
      </c>
      <c r="I472" t="s">
        <v>8</v>
      </c>
      <c r="M472" t="s">
        <v>36</v>
      </c>
      <c r="Q472" t="s">
        <v>24</v>
      </c>
      <c r="U472" t="s">
        <v>36</v>
      </c>
    </row>
    <row r="473" spans="1:21" x14ac:dyDescent="0.25">
      <c r="A473" t="s">
        <v>38</v>
      </c>
      <c r="E473" t="s">
        <v>25</v>
      </c>
      <c r="I473" t="s">
        <v>9</v>
      </c>
      <c r="M473" t="s">
        <v>37</v>
      </c>
      <c r="Q473" t="s">
        <v>25</v>
      </c>
      <c r="U473" t="s">
        <v>37</v>
      </c>
    </row>
    <row r="474" spans="1:21" x14ac:dyDescent="0.25">
      <c r="A474" t="s">
        <v>14</v>
      </c>
      <c r="E474" t="s">
        <v>26</v>
      </c>
      <c r="I474" t="s">
        <v>1188</v>
      </c>
      <c r="M474" t="s">
        <v>38</v>
      </c>
      <c r="Q474" t="s">
        <v>26</v>
      </c>
      <c r="U474" t="s">
        <v>38</v>
      </c>
    </row>
    <row r="475" spans="1:21" x14ac:dyDescent="0.25">
      <c r="A475" t="s">
        <v>15</v>
      </c>
      <c r="E475" t="s">
        <v>8</v>
      </c>
      <c r="I475" t="s">
        <v>28</v>
      </c>
      <c r="M475" t="s">
        <v>14</v>
      </c>
      <c r="Q475" t="s">
        <v>8</v>
      </c>
      <c r="U475" t="s">
        <v>14</v>
      </c>
    </row>
    <row r="476" spans="1:21" x14ac:dyDescent="0.25">
      <c r="A476" t="s">
        <v>12</v>
      </c>
      <c r="E476" t="s">
        <v>9</v>
      </c>
      <c r="I476" t="s">
        <v>1189</v>
      </c>
      <c r="M476" t="s">
        <v>15</v>
      </c>
      <c r="Q476" t="s">
        <v>9</v>
      </c>
      <c r="U476" t="s">
        <v>15</v>
      </c>
    </row>
    <row r="477" spans="1:21" x14ac:dyDescent="0.25">
      <c r="A477" t="s">
        <v>13</v>
      </c>
      <c r="E477" t="s">
        <v>10</v>
      </c>
      <c r="I477" t="s">
        <v>30</v>
      </c>
      <c r="M477" t="s">
        <v>12</v>
      </c>
      <c r="Q477" t="s">
        <v>10</v>
      </c>
      <c r="U477" t="s">
        <v>12</v>
      </c>
    </row>
    <row r="478" spans="1:21" x14ac:dyDescent="0.25">
      <c r="A478" t="s">
        <v>2</v>
      </c>
      <c r="E478" t="s">
        <v>11</v>
      </c>
      <c r="I478" t="s">
        <v>31</v>
      </c>
      <c r="M478" t="s">
        <v>13</v>
      </c>
      <c r="Q478" t="s">
        <v>11</v>
      </c>
      <c r="U478" t="s">
        <v>13</v>
      </c>
    </row>
    <row r="479" spans="1:21" x14ac:dyDescent="0.25">
      <c r="A479" t="s">
        <v>3</v>
      </c>
      <c r="E479" t="s">
        <v>933</v>
      </c>
      <c r="I479" t="s">
        <v>32</v>
      </c>
      <c r="M479" t="s">
        <v>2</v>
      </c>
      <c r="Q479" t="s">
        <v>933</v>
      </c>
      <c r="U479" t="s">
        <v>2</v>
      </c>
    </row>
    <row r="480" spans="1:21" x14ac:dyDescent="0.25">
      <c r="A480" t="s">
        <v>4</v>
      </c>
      <c r="E480" t="s">
        <v>934</v>
      </c>
      <c r="I480" t="s">
        <v>1190</v>
      </c>
      <c r="M480" t="s">
        <v>3</v>
      </c>
      <c r="Q480" t="s">
        <v>934</v>
      </c>
      <c r="U480" t="s">
        <v>3</v>
      </c>
    </row>
    <row r="481" spans="1:21" x14ac:dyDescent="0.25">
      <c r="A481" t="s">
        <v>5</v>
      </c>
      <c r="E481" t="s">
        <v>935</v>
      </c>
      <c r="I481" t="s">
        <v>34</v>
      </c>
      <c r="M481" t="s">
        <v>4</v>
      </c>
      <c r="Q481" t="s">
        <v>935</v>
      </c>
      <c r="U481" t="s">
        <v>4</v>
      </c>
    </row>
    <row r="482" spans="1:21" x14ac:dyDescent="0.25">
      <c r="A482" t="s">
        <v>6</v>
      </c>
      <c r="E482" t="s">
        <v>936</v>
      </c>
      <c r="I482" t="s">
        <v>1191</v>
      </c>
      <c r="M482" t="s">
        <v>5</v>
      </c>
      <c r="Q482" t="s">
        <v>936</v>
      </c>
      <c r="U482" t="s">
        <v>5</v>
      </c>
    </row>
    <row r="483" spans="1:21" x14ac:dyDescent="0.25">
      <c r="A483" t="s">
        <v>7</v>
      </c>
      <c r="E483" t="s">
        <v>181</v>
      </c>
      <c r="I483" t="s">
        <v>36</v>
      </c>
      <c r="M483" t="s">
        <v>6</v>
      </c>
      <c r="Q483" t="s">
        <v>181</v>
      </c>
      <c r="U483" t="s">
        <v>6</v>
      </c>
    </row>
    <row r="484" spans="1:21" x14ac:dyDescent="0.25">
      <c r="A484" t="s">
        <v>8</v>
      </c>
      <c r="E484" t="s">
        <v>182</v>
      </c>
      <c r="I484" t="s">
        <v>37</v>
      </c>
      <c r="M484" t="s">
        <v>7</v>
      </c>
      <c r="Q484" t="s">
        <v>182</v>
      </c>
      <c r="U484" t="s">
        <v>7</v>
      </c>
    </row>
    <row r="485" spans="1:21" x14ac:dyDescent="0.25">
      <c r="A485" t="s">
        <v>9</v>
      </c>
      <c r="E485" t="s">
        <v>14</v>
      </c>
      <c r="I485" t="s">
        <v>38</v>
      </c>
      <c r="M485" t="s">
        <v>8</v>
      </c>
      <c r="Q485" t="s">
        <v>14</v>
      </c>
      <c r="U485" t="s">
        <v>8</v>
      </c>
    </row>
    <row r="486" spans="1:21" x14ac:dyDescent="0.25">
      <c r="A486" t="s">
        <v>149</v>
      </c>
      <c r="E486" t="s">
        <v>15</v>
      </c>
      <c r="M486" t="s">
        <v>9</v>
      </c>
      <c r="Q486" t="s">
        <v>15</v>
      </c>
      <c r="U486" t="s">
        <v>9</v>
      </c>
    </row>
    <row r="487" spans="1:21" x14ac:dyDescent="0.25">
      <c r="A487" t="s">
        <v>150</v>
      </c>
      <c r="E487" t="s">
        <v>151</v>
      </c>
      <c r="I487" t="s">
        <v>10</v>
      </c>
      <c r="M487" t="s">
        <v>149</v>
      </c>
      <c r="Q487" t="s">
        <v>151</v>
      </c>
      <c r="U487" t="s">
        <v>149</v>
      </c>
    </row>
    <row r="488" spans="1:21" x14ac:dyDescent="0.25">
      <c r="A488" t="s">
        <v>151</v>
      </c>
      <c r="E488" t="s">
        <v>1048</v>
      </c>
      <c r="I488" t="s">
        <v>11</v>
      </c>
      <c r="M488" t="s">
        <v>150</v>
      </c>
      <c r="Q488" t="s">
        <v>1048</v>
      </c>
      <c r="U488" t="s">
        <v>150</v>
      </c>
    </row>
    <row r="489" spans="1:21" x14ac:dyDescent="0.25">
      <c r="A489" t="s">
        <v>152</v>
      </c>
      <c r="E489" t="s">
        <v>149</v>
      </c>
      <c r="I489" t="s">
        <v>12</v>
      </c>
      <c r="M489" t="s">
        <v>151</v>
      </c>
      <c r="Q489" t="s">
        <v>149</v>
      </c>
      <c r="U489" t="s">
        <v>151</v>
      </c>
    </row>
    <row r="490" spans="1:21" x14ac:dyDescent="0.25">
      <c r="A490" t="s">
        <v>149</v>
      </c>
      <c r="E490" t="s">
        <v>1049</v>
      </c>
      <c r="I490" t="s">
        <v>13</v>
      </c>
      <c r="M490" t="s">
        <v>152</v>
      </c>
      <c r="Q490" t="s">
        <v>1049</v>
      </c>
      <c r="U490" t="s">
        <v>152</v>
      </c>
    </row>
    <row r="491" spans="1:21" x14ac:dyDescent="0.25">
      <c r="A491" t="s">
        <v>153</v>
      </c>
      <c r="E491" t="s">
        <v>151</v>
      </c>
      <c r="I491" t="s">
        <v>14</v>
      </c>
      <c r="M491" t="s">
        <v>149</v>
      </c>
      <c r="Q491" t="s">
        <v>151</v>
      </c>
      <c r="U491" t="s">
        <v>149</v>
      </c>
    </row>
    <row r="492" spans="1:21" x14ac:dyDescent="0.25">
      <c r="A492" t="s">
        <v>151</v>
      </c>
      <c r="E492" t="s">
        <v>1050</v>
      </c>
      <c r="I492" t="s">
        <v>15</v>
      </c>
      <c r="M492" t="s">
        <v>153</v>
      </c>
      <c r="Q492" t="s">
        <v>1050</v>
      </c>
      <c r="U492" t="s">
        <v>153</v>
      </c>
    </row>
    <row r="493" spans="1:21" x14ac:dyDescent="0.25">
      <c r="A493" t="s">
        <v>154</v>
      </c>
      <c r="E493" t="s">
        <v>149</v>
      </c>
      <c r="I493" t="s">
        <v>1192</v>
      </c>
      <c r="M493" t="s">
        <v>151</v>
      </c>
      <c r="Q493" t="s">
        <v>149</v>
      </c>
      <c r="U493" t="s">
        <v>151</v>
      </c>
    </row>
    <row r="494" spans="1:21" x14ac:dyDescent="0.25">
      <c r="A494" t="s">
        <v>155</v>
      </c>
      <c r="E494" t="s">
        <v>1051</v>
      </c>
      <c r="I494" t="s">
        <v>16</v>
      </c>
      <c r="M494" t="s">
        <v>154</v>
      </c>
      <c r="Q494" t="s">
        <v>1051</v>
      </c>
      <c r="U494" t="s">
        <v>154</v>
      </c>
    </row>
    <row r="495" spans="1:21" x14ac:dyDescent="0.25">
      <c r="A495" t="s">
        <v>156</v>
      </c>
      <c r="E495" t="s">
        <v>160</v>
      </c>
      <c r="I495" t="s">
        <v>1193</v>
      </c>
      <c r="M495" t="s">
        <v>155</v>
      </c>
      <c r="Q495" t="s">
        <v>160</v>
      </c>
      <c r="U495" t="s">
        <v>155</v>
      </c>
    </row>
    <row r="496" spans="1:21" x14ac:dyDescent="0.25">
      <c r="A496" t="s">
        <v>157</v>
      </c>
      <c r="E496" t="s">
        <v>1052</v>
      </c>
      <c r="I496" t="s">
        <v>18</v>
      </c>
      <c r="M496" t="s">
        <v>156</v>
      </c>
      <c r="Q496" t="s">
        <v>1052</v>
      </c>
      <c r="U496" t="s">
        <v>156</v>
      </c>
    </row>
    <row r="497" spans="1:21" x14ac:dyDescent="0.25">
      <c r="A497" t="s">
        <v>158</v>
      </c>
      <c r="E497" t="s">
        <v>1053</v>
      </c>
      <c r="I497" t="s">
        <v>19</v>
      </c>
      <c r="M497" t="s">
        <v>157</v>
      </c>
      <c r="Q497" t="s">
        <v>1053</v>
      </c>
      <c r="U497" t="s">
        <v>157</v>
      </c>
    </row>
    <row r="498" spans="1:21" x14ac:dyDescent="0.25">
      <c r="A498" t="s">
        <v>155</v>
      </c>
      <c r="E498" t="s">
        <v>1054</v>
      </c>
      <c r="I498" t="s">
        <v>20</v>
      </c>
      <c r="M498" t="s">
        <v>158</v>
      </c>
      <c r="Q498" t="s">
        <v>1054</v>
      </c>
      <c r="U498" t="s">
        <v>158</v>
      </c>
    </row>
    <row r="499" spans="1:21" x14ac:dyDescent="0.25">
      <c r="A499" t="s">
        <v>159</v>
      </c>
      <c r="E499" t="s">
        <v>160</v>
      </c>
      <c r="I499" t="s">
        <v>1194</v>
      </c>
      <c r="M499" t="s">
        <v>155</v>
      </c>
      <c r="Q499" t="s">
        <v>160</v>
      </c>
      <c r="U499" t="s">
        <v>155</v>
      </c>
    </row>
    <row r="500" spans="1:21" x14ac:dyDescent="0.25">
      <c r="A500" t="s">
        <v>160</v>
      </c>
      <c r="E500" t="s">
        <v>1055</v>
      </c>
      <c r="I500" t="s">
        <v>22</v>
      </c>
      <c r="M500" t="s">
        <v>159</v>
      </c>
      <c r="Q500" t="s">
        <v>1055</v>
      </c>
      <c r="U500" t="s">
        <v>159</v>
      </c>
    </row>
    <row r="501" spans="1:21" x14ac:dyDescent="0.25">
      <c r="A501" t="s">
        <v>161</v>
      </c>
      <c r="E501" t="s">
        <v>155</v>
      </c>
      <c r="I501" t="s">
        <v>1195</v>
      </c>
      <c r="M501" t="s">
        <v>160</v>
      </c>
      <c r="Q501" t="s">
        <v>155</v>
      </c>
      <c r="U501" t="s">
        <v>160</v>
      </c>
    </row>
    <row r="502" spans="1:21" x14ac:dyDescent="0.25">
      <c r="A502" t="s">
        <v>155</v>
      </c>
      <c r="E502" t="s">
        <v>1056</v>
      </c>
      <c r="I502" t="s">
        <v>24</v>
      </c>
      <c r="M502" t="s">
        <v>161</v>
      </c>
      <c r="Q502" t="s">
        <v>1056</v>
      </c>
      <c r="U502" t="s">
        <v>161</v>
      </c>
    </row>
    <row r="503" spans="1:21" x14ac:dyDescent="0.25">
      <c r="A503" t="s">
        <v>162</v>
      </c>
      <c r="E503" t="s">
        <v>160</v>
      </c>
      <c r="I503" t="s">
        <v>25</v>
      </c>
      <c r="M503" t="s">
        <v>155</v>
      </c>
      <c r="Q503" t="s">
        <v>160</v>
      </c>
      <c r="U503" t="s">
        <v>155</v>
      </c>
    </row>
    <row r="504" spans="1:21" x14ac:dyDescent="0.25">
      <c r="A504" t="s">
        <v>160</v>
      </c>
      <c r="E504" t="s">
        <v>1057</v>
      </c>
      <c r="I504" t="s">
        <v>26</v>
      </c>
      <c r="M504" t="s">
        <v>162</v>
      </c>
      <c r="Q504" t="s">
        <v>1057</v>
      </c>
      <c r="U504" t="s">
        <v>162</v>
      </c>
    </row>
    <row r="505" spans="1:21" x14ac:dyDescent="0.25">
      <c r="A505" t="s">
        <v>163</v>
      </c>
      <c r="E505" t="s">
        <v>155</v>
      </c>
      <c r="I505" t="s">
        <v>8</v>
      </c>
      <c r="M505" t="s">
        <v>160</v>
      </c>
      <c r="Q505" t="s">
        <v>155</v>
      </c>
      <c r="U505" t="s">
        <v>160</v>
      </c>
    </row>
    <row r="506" spans="1:21" x14ac:dyDescent="0.25">
      <c r="A506" t="s">
        <v>155</v>
      </c>
      <c r="E506" t="s">
        <v>1058</v>
      </c>
      <c r="I506" t="s">
        <v>9</v>
      </c>
      <c r="M506" t="s">
        <v>163</v>
      </c>
      <c r="Q506" t="s">
        <v>1058</v>
      </c>
      <c r="U506" t="s">
        <v>163</v>
      </c>
    </row>
    <row r="507" spans="1:21" x14ac:dyDescent="0.25">
      <c r="A507" t="s">
        <v>164</v>
      </c>
      <c r="E507" t="s">
        <v>160</v>
      </c>
      <c r="I507" t="s">
        <v>10</v>
      </c>
      <c r="M507" t="s">
        <v>155</v>
      </c>
      <c r="Q507" t="s">
        <v>160</v>
      </c>
      <c r="U507" t="s">
        <v>155</v>
      </c>
    </row>
    <row r="508" spans="1:21" x14ac:dyDescent="0.25">
      <c r="A508" t="s">
        <v>169</v>
      </c>
      <c r="E508" t="s">
        <v>1059</v>
      </c>
      <c r="I508" t="s">
        <v>11</v>
      </c>
      <c r="M508" t="s">
        <v>164</v>
      </c>
      <c r="Q508" t="s">
        <v>1059</v>
      </c>
      <c r="U508" t="s">
        <v>164</v>
      </c>
    </row>
    <row r="509" spans="1:21" x14ac:dyDescent="0.25">
      <c r="A509" t="s">
        <v>166</v>
      </c>
      <c r="E509" t="s">
        <v>931</v>
      </c>
      <c r="I509" t="s">
        <v>933</v>
      </c>
      <c r="M509" t="s">
        <v>169</v>
      </c>
      <c r="Q509" t="s">
        <v>931</v>
      </c>
      <c r="U509" t="s">
        <v>169</v>
      </c>
    </row>
    <row r="510" spans="1:21" x14ac:dyDescent="0.25">
      <c r="A510" t="s">
        <v>931</v>
      </c>
      <c r="E510" t="s">
        <v>1060</v>
      </c>
      <c r="I510" t="s">
        <v>934</v>
      </c>
      <c r="M510" t="s">
        <v>166</v>
      </c>
      <c r="Q510" t="s">
        <v>1060</v>
      </c>
      <c r="U510" t="s">
        <v>166</v>
      </c>
    </row>
    <row r="511" spans="1:21" x14ac:dyDescent="0.25">
      <c r="A511" t="s">
        <v>168</v>
      </c>
      <c r="E511" t="s">
        <v>169</v>
      </c>
      <c r="I511" t="s">
        <v>935</v>
      </c>
      <c r="M511" t="s">
        <v>931</v>
      </c>
      <c r="Q511" t="s">
        <v>169</v>
      </c>
      <c r="U511" t="s">
        <v>931</v>
      </c>
    </row>
    <row r="512" spans="1:21" x14ac:dyDescent="0.25">
      <c r="A512" t="s">
        <v>169</v>
      </c>
      <c r="E512" t="s">
        <v>1061</v>
      </c>
      <c r="I512" t="s">
        <v>936</v>
      </c>
      <c r="M512" t="s">
        <v>168</v>
      </c>
      <c r="Q512" t="s">
        <v>1061</v>
      </c>
      <c r="U512" t="s">
        <v>168</v>
      </c>
    </row>
    <row r="513" spans="1:21" x14ac:dyDescent="0.25">
      <c r="A513" t="s">
        <v>170</v>
      </c>
      <c r="E513" t="s">
        <v>931</v>
      </c>
      <c r="I513" t="s">
        <v>181</v>
      </c>
      <c r="M513" t="s">
        <v>169</v>
      </c>
      <c r="Q513" t="s">
        <v>931</v>
      </c>
      <c r="U513" t="s">
        <v>169</v>
      </c>
    </row>
    <row r="514" spans="1:21" x14ac:dyDescent="0.25">
      <c r="A514" t="s">
        <v>171</v>
      </c>
      <c r="E514" t="s">
        <v>1062</v>
      </c>
      <c r="I514" t="s">
        <v>182</v>
      </c>
      <c r="M514" t="s">
        <v>170</v>
      </c>
      <c r="Q514" t="s">
        <v>1062</v>
      </c>
      <c r="U514" t="s">
        <v>170</v>
      </c>
    </row>
    <row r="515" spans="1:21" x14ac:dyDescent="0.25">
      <c r="A515" t="s">
        <v>172</v>
      </c>
      <c r="E515" t="s">
        <v>1063</v>
      </c>
      <c r="I515" t="s">
        <v>14</v>
      </c>
      <c r="M515" t="s">
        <v>171</v>
      </c>
      <c r="Q515" t="s">
        <v>1063</v>
      </c>
      <c r="U515" t="s">
        <v>171</v>
      </c>
    </row>
    <row r="516" spans="1:21" x14ac:dyDescent="0.25">
      <c r="A516" t="s">
        <v>173</v>
      </c>
      <c r="E516" t="s">
        <v>1064</v>
      </c>
      <c r="I516" t="s">
        <v>15</v>
      </c>
      <c r="M516" t="s">
        <v>172</v>
      </c>
      <c r="Q516" t="s">
        <v>1064</v>
      </c>
      <c r="U516" t="s">
        <v>172</v>
      </c>
    </row>
    <row r="517" spans="1:21" x14ac:dyDescent="0.25">
      <c r="A517" t="s">
        <v>174</v>
      </c>
      <c r="E517" t="s">
        <v>1065</v>
      </c>
      <c r="I517" t="s">
        <v>151</v>
      </c>
      <c r="M517" t="s">
        <v>173</v>
      </c>
      <c r="Q517" t="s">
        <v>1065</v>
      </c>
      <c r="U517" t="s">
        <v>173</v>
      </c>
    </row>
    <row r="518" spans="1:21" x14ac:dyDescent="0.25">
      <c r="A518" t="s">
        <v>175</v>
      </c>
      <c r="E518" t="s">
        <v>1066</v>
      </c>
      <c r="I518" t="s">
        <v>1048</v>
      </c>
      <c r="M518" t="s">
        <v>174</v>
      </c>
      <c r="Q518" t="s">
        <v>1066</v>
      </c>
      <c r="U518" t="s">
        <v>174</v>
      </c>
    </row>
    <row r="519" spans="1:21" x14ac:dyDescent="0.25">
      <c r="A519" t="s">
        <v>176</v>
      </c>
      <c r="E519" t="s">
        <v>1067</v>
      </c>
      <c r="I519" t="s">
        <v>149</v>
      </c>
      <c r="M519" t="s">
        <v>175</v>
      </c>
      <c r="Q519" t="s">
        <v>1067</v>
      </c>
      <c r="U519" t="s">
        <v>175</v>
      </c>
    </row>
    <row r="520" spans="1:21" x14ac:dyDescent="0.25">
      <c r="A520" t="s">
        <v>177</v>
      </c>
      <c r="E520" t="s">
        <v>1068</v>
      </c>
      <c r="I520" t="s">
        <v>1049</v>
      </c>
      <c r="M520" t="s">
        <v>176</v>
      </c>
      <c r="Q520" t="s">
        <v>1068</v>
      </c>
      <c r="U520" t="s">
        <v>176</v>
      </c>
    </row>
    <row r="521" spans="1:21" x14ac:dyDescent="0.25">
      <c r="A521" t="s">
        <v>178</v>
      </c>
      <c r="E521" t="s">
        <v>179</v>
      </c>
      <c r="I521" t="s">
        <v>151</v>
      </c>
      <c r="M521" t="s">
        <v>177</v>
      </c>
      <c r="Q521" t="s">
        <v>179</v>
      </c>
      <c r="U521" t="s">
        <v>177</v>
      </c>
    </row>
    <row r="522" spans="1:21" x14ac:dyDescent="0.25">
      <c r="A522" t="s">
        <v>179</v>
      </c>
      <c r="E522" t="s">
        <v>1069</v>
      </c>
      <c r="I522" t="s">
        <v>1050</v>
      </c>
      <c r="M522" t="s">
        <v>178</v>
      </c>
      <c r="Q522" t="s">
        <v>1069</v>
      </c>
      <c r="U522" t="s">
        <v>178</v>
      </c>
    </row>
    <row r="523" spans="1:21" x14ac:dyDescent="0.25">
      <c r="A523" t="s">
        <v>180</v>
      </c>
      <c r="E523" t="s">
        <v>177</v>
      </c>
      <c r="I523" t="s">
        <v>149</v>
      </c>
      <c r="M523" t="s">
        <v>179</v>
      </c>
      <c r="Q523" t="s">
        <v>177</v>
      </c>
      <c r="U523" t="s">
        <v>179</v>
      </c>
    </row>
    <row r="524" spans="1:21" x14ac:dyDescent="0.25">
      <c r="A524" t="s">
        <v>181</v>
      </c>
      <c r="E524" t="s">
        <v>1070</v>
      </c>
      <c r="I524" t="s">
        <v>1051</v>
      </c>
      <c r="M524" t="s">
        <v>180</v>
      </c>
      <c r="Q524" t="s">
        <v>1070</v>
      </c>
      <c r="U524" t="s">
        <v>180</v>
      </c>
    </row>
    <row r="525" spans="1:21" x14ac:dyDescent="0.25">
      <c r="A525" t="s">
        <v>182</v>
      </c>
      <c r="E525" t="s">
        <v>6</v>
      </c>
      <c r="I525" t="s">
        <v>160</v>
      </c>
      <c r="M525" t="s">
        <v>181</v>
      </c>
      <c r="Q525" t="s">
        <v>6</v>
      </c>
      <c r="U525" t="s">
        <v>181</v>
      </c>
    </row>
    <row r="526" spans="1:21" x14ac:dyDescent="0.25">
      <c r="A526" t="s">
        <v>932</v>
      </c>
      <c r="E526" t="s">
        <v>7</v>
      </c>
      <c r="I526" t="s">
        <v>1052</v>
      </c>
      <c r="M526" t="s">
        <v>182</v>
      </c>
      <c r="Q526" t="s">
        <v>7</v>
      </c>
      <c r="U526" t="s">
        <v>182</v>
      </c>
    </row>
    <row r="527" spans="1:21" x14ac:dyDescent="0.25">
      <c r="A527" t="s">
        <v>184</v>
      </c>
      <c r="E527" t="s">
        <v>1071</v>
      </c>
      <c r="I527" t="s">
        <v>1053</v>
      </c>
      <c r="M527" t="s">
        <v>932</v>
      </c>
      <c r="Q527" t="s">
        <v>1071</v>
      </c>
      <c r="U527" t="s">
        <v>932</v>
      </c>
    </row>
    <row r="528" spans="1:21" x14ac:dyDescent="0.25">
      <c r="A528" t="s">
        <v>185</v>
      </c>
      <c r="E528" t="s">
        <v>1072</v>
      </c>
      <c r="I528" t="s">
        <v>1054</v>
      </c>
      <c r="M528" t="s">
        <v>184</v>
      </c>
      <c r="Q528" t="s">
        <v>1072</v>
      </c>
      <c r="U528" t="s">
        <v>184</v>
      </c>
    </row>
    <row r="529" spans="1:21" x14ac:dyDescent="0.25">
      <c r="A529" t="s">
        <v>186</v>
      </c>
      <c r="E529" t="s">
        <v>1073</v>
      </c>
      <c r="I529" t="s">
        <v>160</v>
      </c>
      <c r="M529" t="s">
        <v>185</v>
      </c>
      <c r="Q529" t="s">
        <v>1073</v>
      </c>
      <c r="U529" t="s">
        <v>185</v>
      </c>
    </row>
    <row r="530" spans="1:21" x14ac:dyDescent="0.25">
      <c r="A530" t="s">
        <v>10</v>
      </c>
      <c r="E530" t="s">
        <v>1074</v>
      </c>
      <c r="I530" t="s">
        <v>1055</v>
      </c>
      <c r="M530" t="s">
        <v>186</v>
      </c>
      <c r="Q530" t="s">
        <v>1074</v>
      </c>
      <c r="U530" t="s">
        <v>186</v>
      </c>
    </row>
    <row r="531" spans="1:21" x14ac:dyDescent="0.25">
      <c r="A531" t="s">
        <v>11</v>
      </c>
      <c r="E531" t="s">
        <v>12</v>
      </c>
      <c r="I531" t="s">
        <v>155</v>
      </c>
      <c r="M531" t="s">
        <v>10</v>
      </c>
      <c r="Q531" t="s">
        <v>12</v>
      </c>
      <c r="U531" t="s">
        <v>10</v>
      </c>
    </row>
    <row r="532" spans="1:21" x14ac:dyDescent="0.25">
      <c r="A532" t="s">
        <v>12</v>
      </c>
      <c r="E532" t="s">
        <v>13</v>
      </c>
      <c r="I532" t="s">
        <v>1056</v>
      </c>
      <c r="M532" t="s">
        <v>11</v>
      </c>
      <c r="Q532" t="s">
        <v>13</v>
      </c>
      <c r="U532" t="s">
        <v>11</v>
      </c>
    </row>
    <row r="533" spans="1:21" x14ac:dyDescent="0.25">
      <c r="A533" t="s">
        <v>13</v>
      </c>
      <c r="E533" t="s">
        <v>10</v>
      </c>
      <c r="I533" t="s">
        <v>160</v>
      </c>
      <c r="M533" t="s">
        <v>12</v>
      </c>
      <c r="Q533" t="s">
        <v>10</v>
      </c>
      <c r="U533" t="s">
        <v>12</v>
      </c>
    </row>
    <row r="534" spans="1:21" x14ac:dyDescent="0.25">
      <c r="A534" t="s">
        <v>10</v>
      </c>
      <c r="E534" t="s">
        <v>11</v>
      </c>
      <c r="I534" t="s">
        <v>1057</v>
      </c>
      <c r="M534" t="s">
        <v>13</v>
      </c>
      <c r="Q534" t="s">
        <v>11</v>
      </c>
      <c r="U534" t="s">
        <v>13</v>
      </c>
    </row>
    <row r="535" spans="1:21" x14ac:dyDescent="0.25">
      <c r="A535" t="s">
        <v>11</v>
      </c>
      <c r="E535" t="s">
        <v>12</v>
      </c>
      <c r="I535" t="s">
        <v>155</v>
      </c>
      <c r="M535" t="s">
        <v>10</v>
      </c>
      <c r="Q535" t="s">
        <v>12</v>
      </c>
      <c r="U535" t="s">
        <v>10</v>
      </c>
    </row>
    <row r="536" spans="1:21" x14ac:dyDescent="0.25">
      <c r="A536" t="s">
        <v>12</v>
      </c>
      <c r="E536" t="s">
        <v>13</v>
      </c>
      <c r="I536" t="s">
        <v>1058</v>
      </c>
      <c r="M536" t="s">
        <v>11</v>
      </c>
      <c r="Q536" t="s">
        <v>13</v>
      </c>
      <c r="U536" t="s">
        <v>11</v>
      </c>
    </row>
    <row r="537" spans="1:21" x14ac:dyDescent="0.25">
      <c r="A537" t="s">
        <v>13</v>
      </c>
      <c r="E537" t="s">
        <v>10</v>
      </c>
      <c r="I537" t="s">
        <v>160</v>
      </c>
      <c r="M537" t="s">
        <v>12</v>
      </c>
      <c r="Q537" t="s">
        <v>10</v>
      </c>
      <c r="U537" t="s">
        <v>12</v>
      </c>
    </row>
    <row r="538" spans="1:21" x14ac:dyDescent="0.25">
      <c r="A538" t="s">
        <v>25</v>
      </c>
      <c r="E538" t="s">
        <v>11</v>
      </c>
      <c r="I538" t="s">
        <v>1059</v>
      </c>
      <c r="M538" t="s">
        <v>13</v>
      </c>
      <c r="Q538" t="s">
        <v>11</v>
      </c>
      <c r="U538" t="s">
        <v>13</v>
      </c>
    </row>
    <row r="539" spans="1:21" x14ac:dyDescent="0.25">
      <c r="A539" t="s">
        <v>26</v>
      </c>
      <c r="E539" t="s">
        <v>37</v>
      </c>
      <c r="I539" t="s">
        <v>931</v>
      </c>
      <c r="M539" t="s">
        <v>25</v>
      </c>
      <c r="Q539" t="s">
        <v>37</v>
      </c>
      <c r="U539" t="s">
        <v>25</v>
      </c>
    </row>
    <row r="540" spans="1:21" x14ac:dyDescent="0.25">
      <c r="A540" t="s">
        <v>12</v>
      </c>
      <c r="E540" t="s">
        <v>38</v>
      </c>
      <c r="I540" t="s">
        <v>1060</v>
      </c>
      <c r="M540" t="s">
        <v>26</v>
      </c>
      <c r="Q540" t="s">
        <v>38</v>
      </c>
      <c r="U540" t="s">
        <v>26</v>
      </c>
    </row>
    <row r="541" spans="1:21" x14ac:dyDescent="0.25">
      <c r="A541" t="s">
        <v>13</v>
      </c>
      <c r="E541" t="s">
        <v>10</v>
      </c>
      <c r="I541" t="s">
        <v>169</v>
      </c>
      <c r="M541" t="s">
        <v>12</v>
      </c>
      <c r="Q541" t="s">
        <v>10</v>
      </c>
      <c r="U541" t="s">
        <v>12</v>
      </c>
    </row>
    <row r="542" spans="1:21" x14ac:dyDescent="0.25">
      <c r="E542" t="s">
        <v>11</v>
      </c>
      <c r="I542" t="s">
        <v>1061</v>
      </c>
      <c r="M542" t="s">
        <v>13</v>
      </c>
      <c r="Q542" t="s">
        <v>11</v>
      </c>
      <c r="U542" t="s">
        <v>13</v>
      </c>
    </row>
    <row r="543" spans="1:21" x14ac:dyDescent="0.25">
      <c r="I543" t="s">
        <v>931</v>
      </c>
    </row>
    <row r="544" spans="1:21" x14ac:dyDescent="0.25">
      <c r="I544" t="s">
        <v>1062</v>
      </c>
    </row>
    <row r="545" spans="9:9" x14ac:dyDescent="0.25">
      <c r="I545" t="s">
        <v>1063</v>
      </c>
    </row>
    <row r="546" spans="9:9" x14ac:dyDescent="0.25">
      <c r="I546" t="s">
        <v>1064</v>
      </c>
    </row>
    <row r="547" spans="9:9" x14ac:dyDescent="0.25">
      <c r="I547" t="s">
        <v>1065</v>
      </c>
    </row>
    <row r="548" spans="9:9" x14ac:dyDescent="0.25">
      <c r="I548" t="s">
        <v>1066</v>
      </c>
    </row>
    <row r="549" spans="9:9" x14ac:dyDescent="0.25">
      <c r="I549" t="s">
        <v>1067</v>
      </c>
    </row>
    <row r="550" spans="9:9" x14ac:dyDescent="0.25">
      <c r="I550" t="s">
        <v>1068</v>
      </c>
    </row>
    <row r="551" spans="9:9" x14ac:dyDescent="0.25">
      <c r="I551" t="s">
        <v>179</v>
      </c>
    </row>
    <row r="552" spans="9:9" x14ac:dyDescent="0.25">
      <c r="I552" t="s">
        <v>1069</v>
      </c>
    </row>
    <row r="553" spans="9:9" x14ac:dyDescent="0.25">
      <c r="I553" t="s">
        <v>177</v>
      </c>
    </row>
    <row r="554" spans="9:9" x14ac:dyDescent="0.25">
      <c r="I554" t="s">
        <v>1070</v>
      </c>
    </row>
    <row r="555" spans="9:9" x14ac:dyDescent="0.25">
      <c r="I555" t="s">
        <v>6</v>
      </c>
    </row>
    <row r="556" spans="9:9" x14ac:dyDescent="0.25">
      <c r="I556" t="s">
        <v>7</v>
      </c>
    </row>
    <row r="557" spans="9:9" x14ac:dyDescent="0.25">
      <c r="I557" t="s">
        <v>1071</v>
      </c>
    </row>
    <row r="558" spans="9:9" x14ac:dyDescent="0.25">
      <c r="I558" t="s">
        <v>1072</v>
      </c>
    </row>
    <row r="559" spans="9:9" x14ac:dyDescent="0.25">
      <c r="I559" t="s">
        <v>1073</v>
      </c>
    </row>
    <row r="560" spans="9:9" x14ac:dyDescent="0.25">
      <c r="I560" t="s">
        <v>1074</v>
      </c>
    </row>
    <row r="561" spans="9:9" x14ac:dyDescent="0.25">
      <c r="I561" t="s">
        <v>12</v>
      </c>
    </row>
    <row r="562" spans="9:9" x14ac:dyDescent="0.25">
      <c r="I562" t="s">
        <v>13</v>
      </c>
    </row>
    <row r="563" spans="9:9" x14ac:dyDescent="0.25">
      <c r="I563" t="s">
        <v>10</v>
      </c>
    </row>
    <row r="564" spans="9:9" x14ac:dyDescent="0.25">
      <c r="I564" t="s">
        <v>11</v>
      </c>
    </row>
    <row r="565" spans="9:9" x14ac:dyDescent="0.25">
      <c r="I565" t="s">
        <v>12</v>
      </c>
    </row>
    <row r="566" spans="9:9" x14ac:dyDescent="0.25">
      <c r="I566" t="s">
        <v>13</v>
      </c>
    </row>
    <row r="567" spans="9:9" x14ac:dyDescent="0.25">
      <c r="I567" t="s">
        <v>10</v>
      </c>
    </row>
    <row r="568" spans="9:9" x14ac:dyDescent="0.25">
      <c r="I568" t="s">
        <v>11</v>
      </c>
    </row>
    <row r="569" spans="9:9" x14ac:dyDescent="0.25">
      <c r="I569" t="s">
        <v>37</v>
      </c>
    </row>
    <row r="570" spans="9:9" x14ac:dyDescent="0.25">
      <c r="I570" t="s">
        <v>38</v>
      </c>
    </row>
    <row r="571" spans="9:9" x14ac:dyDescent="0.25">
      <c r="I571" t="s">
        <v>10</v>
      </c>
    </row>
    <row r="572" spans="9:9" x14ac:dyDescent="0.25">
      <c r="I572" t="s">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BS40"/>
  <sheetViews>
    <sheetView workbookViewId="0">
      <selection activeCell="A38" sqref="A38"/>
    </sheetView>
  </sheetViews>
  <sheetFormatPr defaultRowHeight="15" x14ac:dyDescent="0.25"/>
  <cols>
    <col min="1" max="1" width="10.7109375" customWidth="1"/>
    <col min="2" max="11" width="20.7109375" customWidth="1"/>
    <col min="13" max="13" width="10.7109375" customWidth="1"/>
    <col min="14" max="23" width="20.7109375" customWidth="1"/>
    <col min="25" max="25" width="10.7109375" customWidth="1"/>
    <col min="26" max="35" width="20.7109375" customWidth="1"/>
    <col min="37" max="37" width="10.7109375" customWidth="1"/>
    <col min="38" max="47" width="20.7109375" customWidth="1"/>
    <col min="49" max="49" width="10.7109375" customWidth="1"/>
    <col min="50" max="59" width="20.7109375" customWidth="1"/>
    <col min="61" max="61" width="10.7109375" customWidth="1"/>
    <col min="62" max="71" width="20.7109375" customWidth="1"/>
  </cols>
  <sheetData>
    <row r="1" spans="1:71" x14ac:dyDescent="0.25">
      <c r="A1" s="7" t="s">
        <v>0</v>
      </c>
      <c r="B1" s="7"/>
      <c r="C1" s="7"/>
      <c r="D1" s="7"/>
      <c r="E1" s="7"/>
      <c r="F1" s="7"/>
      <c r="G1" s="7"/>
      <c r="H1" s="7"/>
      <c r="I1" s="7"/>
      <c r="J1" s="7"/>
      <c r="K1" s="7"/>
      <c r="L1" s="7"/>
      <c r="M1" s="7"/>
      <c r="N1" s="7"/>
      <c r="O1" s="7"/>
      <c r="P1" s="7"/>
      <c r="Q1" s="7"/>
      <c r="R1" s="7"/>
      <c r="S1" s="7"/>
      <c r="T1" s="7"/>
      <c r="U1" s="7"/>
    </row>
    <row r="2" spans="1:71" x14ac:dyDescent="0.25">
      <c r="A2" s="7"/>
      <c r="B2" s="7"/>
      <c r="C2" s="7"/>
      <c r="D2" s="7"/>
      <c r="E2" s="7" t="s">
        <v>1527</v>
      </c>
      <c r="F2" s="7"/>
      <c r="G2" s="7"/>
      <c r="H2" s="7"/>
      <c r="I2" s="7"/>
      <c r="J2" s="7"/>
      <c r="K2" s="7"/>
      <c r="L2" s="7"/>
      <c r="M2" s="7"/>
      <c r="N2" s="7"/>
      <c r="O2" s="7"/>
      <c r="P2" s="7"/>
      <c r="Q2" s="7"/>
      <c r="R2" s="7"/>
      <c r="S2" s="7"/>
      <c r="T2" s="7"/>
      <c r="U2" s="7"/>
    </row>
    <row r="3" spans="1:71" x14ac:dyDescent="0.25">
      <c r="A3" s="8" t="s">
        <v>761</v>
      </c>
      <c r="B3" s="8">
        <v>42837</v>
      </c>
      <c r="C3" s="7"/>
      <c r="D3" s="7"/>
      <c r="E3" s="7" t="s">
        <v>1197</v>
      </c>
      <c r="F3" s="7"/>
      <c r="G3" s="7"/>
      <c r="H3" s="7"/>
      <c r="I3" s="7"/>
      <c r="J3" s="7"/>
      <c r="K3" s="7"/>
      <c r="L3" s="7"/>
      <c r="M3" s="7"/>
      <c r="N3" s="7"/>
      <c r="O3" s="7"/>
      <c r="P3" s="7"/>
      <c r="Q3" s="7"/>
      <c r="R3" s="7"/>
      <c r="S3" s="7"/>
      <c r="T3" s="7"/>
      <c r="U3" s="7"/>
    </row>
    <row r="4" spans="1:71" x14ac:dyDescent="0.25">
      <c r="A4" s="7" t="s">
        <v>762</v>
      </c>
      <c r="B4" s="9">
        <v>0.40486111110658385</v>
      </c>
      <c r="C4" s="7"/>
      <c r="D4" s="7"/>
      <c r="E4" s="7" t="s">
        <v>1526</v>
      </c>
      <c r="F4" s="7"/>
      <c r="G4" s="7"/>
      <c r="H4" s="7"/>
      <c r="I4" s="7"/>
      <c r="J4" s="7"/>
      <c r="K4" s="7"/>
      <c r="L4" s="7"/>
      <c r="M4" s="7"/>
      <c r="N4" s="7"/>
      <c r="O4" s="7"/>
      <c r="P4" s="7"/>
      <c r="Q4" s="7"/>
      <c r="R4" s="7"/>
      <c r="S4" s="7"/>
      <c r="T4" s="7"/>
      <c r="U4" s="7"/>
    </row>
    <row r="5" spans="1:71" x14ac:dyDescent="0.25">
      <c r="A5" s="7" t="s">
        <v>763</v>
      </c>
      <c r="B5" s="9">
        <v>0.42777777777519077</v>
      </c>
      <c r="C5" s="7"/>
      <c r="D5" s="7"/>
      <c r="E5" s="7"/>
      <c r="F5" s="7"/>
      <c r="G5" s="7"/>
      <c r="H5" s="7"/>
      <c r="I5" s="7"/>
      <c r="J5" s="7"/>
      <c r="K5" s="7"/>
      <c r="L5" s="7"/>
      <c r="M5" s="7"/>
      <c r="N5" s="7"/>
      <c r="O5" s="7"/>
      <c r="P5" s="7"/>
      <c r="Q5" s="7"/>
      <c r="R5" s="7"/>
      <c r="S5" s="7"/>
      <c r="T5" s="7"/>
      <c r="U5" s="7"/>
    </row>
    <row r="6" spans="1:71" x14ac:dyDescent="0.25">
      <c r="A6" s="7"/>
      <c r="B6" s="7"/>
      <c r="C6" s="7"/>
      <c r="D6" s="7"/>
      <c r="E6" s="7" t="s">
        <v>1196</v>
      </c>
      <c r="F6" s="7"/>
      <c r="G6" s="7"/>
      <c r="H6" s="7"/>
      <c r="I6" s="7"/>
      <c r="J6" s="7"/>
      <c r="K6" s="7"/>
      <c r="L6" s="7"/>
      <c r="M6" s="7"/>
      <c r="N6" s="7"/>
      <c r="O6" s="7"/>
      <c r="P6" s="7"/>
      <c r="Q6" s="7"/>
      <c r="R6" s="7"/>
      <c r="S6" s="7"/>
      <c r="T6" s="7"/>
      <c r="U6" s="7"/>
    </row>
    <row r="7" spans="1:71" x14ac:dyDescent="0.25">
      <c r="A7" s="7" t="s">
        <v>813</v>
      </c>
      <c r="B7" s="7"/>
      <c r="C7" s="7"/>
      <c r="D7" s="7"/>
      <c r="E7" s="7" t="s">
        <v>814</v>
      </c>
      <c r="F7" s="7"/>
      <c r="G7" s="7"/>
      <c r="H7" s="7"/>
      <c r="I7" s="7"/>
      <c r="J7" s="7"/>
      <c r="K7" s="7"/>
      <c r="L7" s="7"/>
      <c r="M7" s="7"/>
      <c r="N7" s="7"/>
      <c r="O7" s="7"/>
      <c r="P7" s="7"/>
      <c r="Q7" s="7"/>
      <c r="R7" s="7"/>
      <c r="S7" s="7"/>
      <c r="T7" s="7"/>
      <c r="U7" s="7"/>
    </row>
    <row r="8" spans="1:71" x14ac:dyDescent="0.25">
      <c r="A8" s="4" t="s">
        <v>1</v>
      </c>
      <c r="B8" s="4"/>
      <c r="C8" s="4"/>
      <c r="D8" s="4"/>
      <c r="E8" s="4"/>
      <c r="F8" s="4"/>
      <c r="G8" s="4"/>
      <c r="H8" s="4"/>
      <c r="I8" s="4"/>
      <c r="J8" s="4"/>
      <c r="K8" s="4"/>
      <c r="M8" s="4" t="s">
        <v>1</v>
      </c>
      <c r="N8" s="4"/>
      <c r="O8" s="4"/>
      <c r="P8" s="4"/>
      <c r="Q8" s="4"/>
      <c r="R8" s="4"/>
      <c r="S8" s="4"/>
      <c r="T8" s="4"/>
      <c r="U8" s="4"/>
      <c r="V8" s="4"/>
      <c r="W8" s="4"/>
      <c r="Y8" s="4" t="s">
        <v>299</v>
      </c>
      <c r="Z8" s="4"/>
      <c r="AA8" s="4"/>
      <c r="AB8" s="4"/>
      <c r="AC8" s="4"/>
      <c r="AD8" s="4"/>
      <c r="AE8" s="4"/>
      <c r="AF8" s="4"/>
      <c r="AG8" s="4"/>
      <c r="AH8" s="4"/>
      <c r="AI8" s="4"/>
      <c r="AK8" s="4" t="s">
        <v>415</v>
      </c>
      <c r="AL8" s="4"/>
      <c r="AM8" s="4"/>
      <c r="AN8" s="4"/>
      <c r="AO8" s="4"/>
      <c r="AP8" s="4"/>
      <c r="AQ8" s="4"/>
      <c r="AR8" s="4"/>
      <c r="AS8" s="4"/>
      <c r="AT8" s="4"/>
      <c r="AU8" s="4"/>
      <c r="AW8" s="4" t="s">
        <v>533</v>
      </c>
      <c r="AX8" s="4"/>
      <c r="AY8" s="4"/>
      <c r="AZ8" s="4"/>
      <c r="BA8" s="4"/>
      <c r="BB8" s="4"/>
      <c r="BC8" s="4"/>
      <c r="BD8" s="4"/>
      <c r="BE8" s="4"/>
      <c r="BF8" s="4"/>
      <c r="BG8" s="4"/>
      <c r="BI8" s="4" t="s">
        <v>1</v>
      </c>
      <c r="BJ8" s="4"/>
      <c r="BK8" s="4"/>
      <c r="BL8" s="4"/>
      <c r="BM8" s="4"/>
      <c r="BN8" s="4"/>
      <c r="BO8" s="4"/>
      <c r="BP8" s="4"/>
      <c r="BQ8" s="4"/>
      <c r="BR8" s="4"/>
      <c r="BS8" s="4"/>
    </row>
    <row r="9" spans="1:71" x14ac:dyDescent="0.25">
      <c r="A9" s="4" t="s">
        <v>2659</v>
      </c>
      <c r="B9" s="4" t="s">
        <v>2660</v>
      </c>
      <c r="C9" s="4" t="s">
        <v>2661</v>
      </c>
      <c r="D9" s="4" t="s">
        <v>2662</v>
      </c>
      <c r="E9" s="4" t="s">
        <v>2663</v>
      </c>
      <c r="F9" s="4" t="s">
        <v>2664</v>
      </c>
      <c r="G9" s="4" t="s">
        <v>2665</v>
      </c>
      <c r="H9" s="4" t="s">
        <v>2666</v>
      </c>
      <c r="I9" s="4" t="s">
        <v>2667</v>
      </c>
      <c r="J9" s="4" t="s">
        <v>2668</v>
      </c>
      <c r="K9" s="4" t="s">
        <v>2669</v>
      </c>
      <c r="M9" s="4" t="s">
        <v>2659</v>
      </c>
      <c r="N9" s="4" t="s">
        <v>2660</v>
      </c>
      <c r="O9" s="4" t="s">
        <v>2661</v>
      </c>
      <c r="P9" s="4" t="s">
        <v>2662</v>
      </c>
      <c r="Q9" s="4" t="s">
        <v>2663</v>
      </c>
      <c r="R9" s="4" t="s">
        <v>2664</v>
      </c>
      <c r="S9" s="4" t="s">
        <v>2665</v>
      </c>
      <c r="T9" s="4" t="s">
        <v>2666</v>
      </c>
      <c r="U9" s="4" t="s">
        <v>2667</v>
      </c>
      <c r="V9" s="4" t="s">
        <v>2668</v>
      </c>
      <c r="W9" s="4" t="s">
        <v>2669</v>
      </c>
      <c r="Y9" s="4" t="s">
        <v>2659</v>
      </c>
      <c r="Z9" s="4" t="s">
        <v>2660</v>
      </c>
      <c r="AA9" s="4" t="s">
        <v>2661</v>
      </c>
      <c r="AB9" s="4" t="s">
        <v>2662</v>
      </c>
      <c r="AC9" s="4" t="s">
        <v>2663</v>
      </c>
      <c r="AD9" s="4" t="s">
        <v>2664</v>
      </c>
      <c r="AE9" s="4" t="s">
        <v>2665</v>
      </c>
      <c r="AF9" s="4" t="s">
        <v>2666</v>
      </c>
      <c r="AG9" s="4" t="s">
        <v>2667</v>
      </c>
      <c r="AH9" s="4" t="s">
        <v>2668</v>
      </c>
      <c r="AI9" s="4" t="s">
        <v>2669</v>
      </c>
      <c r="AK9" s="4" t="s">
        <v>2659</v>
      </c>
      <c r="AL9" s="4" t="s">
        <v>2660</v>
      </c>
      <c r="AM9" s="4" t="s">
        <v>2661</v>
      </c>
      <c r="AN9" s="4" t="s">
        <v>2662</v>
      </c>
      <c r="AO9" s="4" t="s">
        <v>2663</v>
      </c>
      <c r="AP9" s="4" t="s">
        <v>2664</v>
      </c>
      <c r="AQ9" s="4" t="s">
        <v>2665</v>
      </c>
      <c r="AR9" s="4" t="s">
        <v>2666</v>
      </c>
      <c r="AS9" s="4" t="s">
        <v>2667</v>
      </c>
      <c r="AT9" s="4" t="s">
        <v>2668</v>
      </c>
      <c r="AU9" s="4" t="s">
        <v>2669</v>
      </c>
      <c r="AW9" s="4" t="s">
        <v>2659</v>
      </c>
      <c r="AX9" s="4" t="s">
        <v>2660</v>
      </c>
      <c r="AY9" s="4" t="s">
        <v>2661</v>
      </c>
      <c r="AZ9" s="4" t="s">
        <v>2662</v>
      </c>
      <c r="BA9" s="4" t="s">
        <v>2663</v>
      </c>
      <c r="BB9" s="4" t="s">
        <v>2664</v>
      </c>
      <c r="BC9" s="4" t="s">
        <v>2665</v>
      </c>
      <c r="BD9" s="4" t="s">
        <v>2666</v>
      </c>
      <c r="BE9" s="4" t="s">
        <v>2667</v>
      </c>
      <c r="BF9" s="4" t="s">
        <v>2668</v>
      </c>
      <c r="BG9" s="4" t="s">
        <v>2669</v>
      </c>
      <c r="BI9" s="4" t="s">
        <v>2659</v>
      </c>
      <c r="BJ9" s="4" t="s">
        <v>2660</v>
      </c>
      <c r="BK9" s="4" t="s">
        <v>2661</v>
      </c>
      <c r="BL9" s="4" t="s">
        <v>2662</v>
      </c>
      <c r="BM9" s="4" t="s">
        <v>2663</v>
      </c>
      <c r="BN9" s="4" t="s">
        <v>2664</v>
      </c>
      <c r="BO9" s="4" t="s">
        <v>2665</v>
      </c>
      <c r="BP9" s="4" t="s">
        <v>2666</v>
      </c>
      <c r="BQ9" s="4" t="s">
        <v>2667</v>
      </c>
      <c r="BR9" s="4" t="s">
        <v>2668</v>
      </c>
      <c r="BS9" s="4" t="s">
        <v>2669</v>
      </c>
    </row>
    <row r="10" spans="1:71" x14ac:dyDescent="0.25">
      <c r="A10" s="4">
        <v>1</v>
      </c>
      <c r="B10" s="4">
        <v>2550</v>
      </c>
      <c r="C10" s="4">
        <v>2642</v>
      </c>
      <c r="D10" s="4">
        <v>528672</v>
      </c>
      <c r="E10" s="4">
        <v>528704</v>
      </c>
      <c r="F10" s="4">
        <v>100000</v>
      </c>
      <c r="G10" s="4">
        <v>100032</v>
      </c>
      <c r="H10" s="4">
        <v>193</v>
      </c>
      <c r="I10" s="4">
        <v>5032</v>
      </c>
      <c r="J10" s="4">
        <v>201640</v>
      </c>
      <c r="K10" s="4">
        <v>201664</v>
      </c>
      <c r="M10" s="4">
        <v>1</v>
      </c>
      <c r="N10" s="4">
        <v>2425</v>
      </c>
      <c r="O10" s="4">
        <v>2791</v>
      </c>
      <c r="P10" s="4">
        <v>558203</v>
      </c>
      <c r="Q10" s="4">
        <v>558208</v>
      </c>
      <c r="R10" s="4">
        <v>100000</v>
      </c>
      <c r="S10" s="4">
        <v>100032</v>
      </c>
      <c r="T10" s="4">
        <v>224</v>
      </c>
      <c r="U10" s="4">
        <v>5177</v>
      </c>
      <c r="V10" s="4">
        <v>201785</v>
      </c>
      <c r="W10" s="4">
        <v>201792</v>
      </c>
      <c r="Y10" s="4">
        <v>1</v>
      </c>
      <c r="Z10" s="4">
        <v>2417</v>
      </c>
      <c r="AA10" s="4">
        <v>2801</v>
      </c>
      <c r="AB10" s="4">
        <v>560234</v>
      </c>
      <c r="AC10" s="4">
        <v>560256</v>
      </c>
      <c r="AD10" s="4">
        <v>100000</v>
      </c>
      <c r="AE10" s="4">
        <v>100032</v>
      </c>
      <c r="AF10" s="4">
        <v>448</v>
      </c>
      <c r="AG10" s="4">
        <v>6295</v>
      </c>
      <c r="AH10" s="4">
        <v>202903</v>
      </c>
      <c r="AI10" s="4">
        <v>202880</v>
      </c>
      <c r="AK10" s="4">
        <v>1</v>
      </c>
      <c r="AL10" s="4">
        <v>2453</v>
      </c>
      <c r="AM10" s="4">
        <v>2757</v>
      </c>
      <c r="AN10" s="4">
        <v>551406</v>
      </c>
      <c r="AO10" s="4">
        <v>551424</v>
      </c>
      <c r="AP10" s="4">
        <v>100000</v>
      </c>
      <c r="AQ10" s="4">
        <v>100032</v>
      </c>
      <c r="AR10" s="4">
        <v>568</v>
      </c>
      <c r="AS10" s="4">
        <v>6926</v>
      </c>
      <c r="AT10" s="4">
        <v>203534</v>
      </c>
      <c r="AU10" s="4">
        <v>203520</v>
      </c>
      <c r="AW10" s="4">
        <v>1</v>
      </c>
      <c r="AX10" s="4">
        <v>2459</v>
      </c>
      <c r="AY10" s="4">
        <v>2750</v>
      </c>
      <c r="AZ10" s="4">
        <v>550000</v>
      </c>
      <c r="BA10" s="4">
        <v>550016</v>
      </c>
      <c r="BB10" s="4">
        <v>100000</v>
      </c>
      <c r="BC10" s="4">
        <v>100032</v>
      </c>
      <c r="BD10" s="4">
        <v>2048</v>
      </c>
      <c r="BE10" s="4">
        <v>16208</v>
      </c>
      <c r="BF10" s="4">
        <v>212816</v>
      </c>
      <c r="BG10" s="4">
        <v>212800</v>
      </c>
      <c r="BI10" s="4">
        <v>1</v>
      </c>
      <c r="BJ10" s="4">
        <v>2456</v>
      </c>
      <c r="BK10" s="4">
        <v>2753</v>
      </c>
      <c r="BL10" s="4">
        <v>550859</v>
      </c>
      <c r="BM10" s="4">
        <v>550848</v>
      </c>
      <c r="BN10" s="4">
        <v>100000</v>
      </c>
      <c r="BO10" s="4">
        <v>100032</v>
      </c>
      <c r="BP10" s="4">
        <v>169</v>
      </c>
      <c r="BQ10" s="4">
        <v>4920</v>
      </c>
      <c r="BR10" s="4">
        <v>201528</v>
      </c>
      <c r="BS10" s="4">
        <v>201536</v>
      </c>
    </row>
    <row r="11" spans="1:71" x14ac:dyDescent="0.25">
      <c r="A11" s="4">
        <v>2</v>
      </c>
      <c r="B11" s="4">
        <v>2552</v>
      </c>
      <c r="C11" s="4">
        <v>2640</v>
      </c>
      <c r="D11" s="4">
        <v>528125</v>
      </c>
      <c r="E11" s="4">
        <v>528128</v>
      </c>
      <c r="F11" s="4">
        <v>100000</v>
      </c>
      <c r="G11" s="4">
        <v>100032</v>
      </c>
      <c r="H11" s="4">
        <v>214</v>
      </c>
      <c r="I11" s="4">
        <v>5128</v>
      </c>
      <c r="J11" s="4">
        <v>201736</v>
      </c>
      <c r="K11" s="4">
        <v>201728</v>
      </c>
      <c r="M11" s="4">
        <v>2</v>
      </c>
      <c r="N11" s="4">
        <v>2425</v>
      </c>
      <c r="O11" s="4">
        <v>2791</v>
      </c>
      <c r="P11" s="4">
        <v>558203</v>
      </c>
      <c r="Q11" s="4">
        <v>558208</v>
      </c>
      <c r="R11" s="4">
        <v>100000</v>
      </c>
      <c r="S11" s="4">
        <v>100032</v>
      </c>
      <c r="T11" s="4">
        <v>204</v>
      </c>
      <c r="U11" s="4">
        <v>5084</v>
      </c>
      <c r="V11" s="4">
        <v>201692</v>
      </c>
      <c r="W11" s="4">
        <v>201664</v>
      </c>
      <c r="Y11" s="4">
        <v>2</v>
      </c>
      <c r="Z11" s="4">
        <v>2415</v>
      </c>
      <c r="AA11" s="4">
        <v>2803</v>
      </c>
      <c r="AB11" s="4">
        <v>560547</v>
      </c>
      <c r="AC11" s="4">
        <v>560576</v>
      </c>
      <c r="AD11" s="4">
        <v>100000</v>
      </c>
      <c r="AE11" s="4">
        <v>100032</v>
      </c>
      <c r="AF11" s="4">
        <v>367</v>
      </c>
      <c r="AG11" s="4">
        <v>5880</v>
      </c>
      <c r="AH11" s="4">
        <v>202488</v>
      </c>
      <c r="AI11" s="4">
        <v>202496</v>
      </c>
      <c r="AK11" s="4">
        <v>2</v>
      </c>
      <c r="AL11" s="4">
        <v>2453</v>
      </c>
      <c r="AM11" s="4">
        <v>2757</v>
      </c>
      <c r="AN11" s="4">
        <v>551484</v>
      </c>
      <c r="AO11" s="4">
        <v>551488</v>
      </c>
      <c r="AP11" s="4">
        <v>100000</v>
      </c>
      <c r="AQ11" s="4">
        <v>100032</v>
      </c>
      <c r="AR11" s="4">
        <v>583</v>
      </c>
      <c r="AS11" s="4">
        <v>7007</v>
      </c>
      <c r="AT11" s="4">
        <v>203615</v>
      </c>
      <c r="AU11" s="4">
        <v>203584</v>
      </c>
      <c r="AW11" s="4">
        <v>2</v>
      </c>
      <c r="AX11" s="4">
        <v>2457</v>
      </c>
      <c r="AY11" s="4">
        <v>2752</v>
      </c>
      <c r="AZ11" s="4">
        <v>550313</v>
      </c>
      <c r="BA11" s="4">
        <v>550336</v>
      </c>
      <c r="BB11" s="4">
        <v>100000</v>
      </c>
      <c r="BC11" s="4">
        <v>100032</v>
      </c>
      <c r="BD11" s="4">
        <v>2048</v>
      </c>
      <c r="BE11" s="4">
        <v>16185</v>
      </c>
      <c r="BF11" s="4">
        <v>212793</v>
      </c>
      <c r="BG11" s="4">
        <v>212800</v>
      </c>
      <c r="BI11" s="4">
        <v>2</v>
      </c>
      <c r="BJ11" s="4">
        <v>2458</v>
      </c>
      <c r="BK11" s="4">
        <v>2751</v>
      </c>
      <c r="BL11" s="4">
        <v>550313</v>
      </c>
      <c r="BM11" s="4">
        <v>550336</v>
      </c>
      <c r="BN11" s="4">
        <v>100000</v>
      </c>
      <c r="BO11" s="4">
        <v>100032</v>
      </c>
      <c r="BP11" s="4">
        <v>151</v>
      </c>
      <c r="BQ11" s="4">
        <v>4839</v>
      </c>
      <c r="BR11" s="4">
        <v>201447</v>
      </c>
      <c r="BS11" s="4">
        <v>201472</v>
      </c>
    </row>
    <row r="12" spans="1:71" x14ac:dyDescent="0.25">
      <c r="A12" s="4">
        <v>3</v>
      </c>
      <c r="B12" s="4">
        <v>2553</v>
      </c>
      <c r="C12" s="4">
        <v>2639</v>
      </c>
      <c r="D12" s="4">
        <v>527969</v>
      </c>
      <c r="E12" s="4">
        <v>528000</v>
      </c>
      <c r="F12" s="4">
        <v>100000</v>
      </c>
      <c r="G12" s="4">
        <v>100032</v>
      </c>
      <c r="H12" s="4">
        <v>209</v>
      </c>
      <c r="I12" s="4">
        <v>5105</v>
      </c>
      <c r="J12" s="4">
        <v>201713</v>
      </c>
      <c r="K12" s="4">
        <v>201728</v>
      </c>
      <c r="M12" s="4">
        <v>3</v>
      </c>
      <c r="N12" s="4">
        <v>2425</v>
      </c>
      <c r="O12" s="4">
        <v>2791</v>
      </c>
      <c r="P12" s="4">
        <v>558359</v>
      </c>
      <c r="Q12" s="4">
        <v>558336</v>
      </c>
      <c r="R12" s="4">
        <v>100000</v>
      </c>
      <c r="S12" s="4">
        <v>100032</v>
      </c>
      <c r="T12" s="4">
        <v>223</v>
      </c>
      <c r="U12" s="4">
        <v>5174</v>
      </c>
      <c r="V12" s="4">
        <v>201782</v>
      </c>
      <c r="W12" s="4">
        <v>201792</v>
      </c>
      <c r="Y12" s="4">
        <v>3</v>
      </c>
      <c r="Z12" s="4">
        <v>2422</v>
      </c>
      <c r="AA12" s="4">
        <v>2794</v>
      </c>
      <c r="AB12" s="4">
        <v>558828</v>
      </c>
      <c r="AC12" s="4">
        <v>558848</v>
      </c>
      <c r="AD12" s="4">
        <v>100000</v>
      </c>
      <c r="AE12" s="4">
        <v>100032</v>
      </c>
      <c r="AF12" s="4">
        <v>325</v>
      </c>
      <c r="AG12" s="4">
        <v>5668</v>
      </c>
      <c r="AH12" s="4">
        <v>202276</v>
      </c>
      <c r="AI12" s="4">
        <v>202304</v>
      </c>
      <c r="AK12" s="4">
        <v>3</v>
      </c>
      <c r="AL12" s="4">
        <v>2451</v>
      </c>
      <c r="AM12" s="4">
        <v>2759</v>
      </c>
      <c r="AN12" s="4">
        <v>551797</v>
      </c>
      <c r="AO12" s="4">
        <v>551808</v>
      </c>
      <c r="AP12" s="4">
        <v>100000</v>
      </c>
      <c r="AQ12" s="4">
        <v>100032</v>
      </c>
      <c r="AR12" s="4">
        <v>595</v>
      </c>
      <c r="AS12" s="4">
        <v>7072</v>
      </c>
      <c r="AT12" s="4">
        <v>203680</v>
      </c>
      <c r="AU12" s="4">
        <v>203712</v>
      </c>
      <c r="AW12" s="4">
        <v>3</v>
      </c>
      <c r="AX12" s="4">
        <v>2456</v>
      </c>
      <c r="AY12" s="4">
        <v>2753</v>
      </c>
      <c r="AZ12" s="4">
        <v>550625</v>
      </c>
      <c r="BA12" s="4">
        <v>550656</v>
      </c>
      <c r="BB12" s="4">
        <v>100000</v>
      </c>
      <c r="BC12" s="4">
        <v>100032</v>
      </c>
      <c r="BD12" s="4">
        <v>2048</v>
      </c>
      <c r="BE12" s="4">
        <v>15978</v>
      </c>
      <c r="BF12" s="4">
        <v>212586</v>
      </c>
      <c r="BG12" s="4">
        <v>212608</v>
      </c>
      <c r="BI12" s="4">
        <v>3</v>
      </c>
      <c r="BJ12" s="4">
        <v>2459</v>
      </c>
      <c r="BK12" s="4">
        <v>2750</v>
      </c>
      <c r="BL12" s="4">
        <v>550000</v>
      </c>
      <c r="BM12" s="4">
        <v>550016</v>
      </c>
      <c r="BN12" s="4">
        <v>100000</v>
      </c>
      <c r="BO12" s="4">
        <v>100032</v>
      </c>
      <c r="BP12" s="4">
        <v>129</v>
      </c>
      <c r="BQ12" s="4">
        <v>4741</v>
      </c>
      <c r="BR12" s="4">
        <v>201349</v>
      </c>
      <c r="BS12" s="4">
        <v>201344</v>
      </c>
    </row>
    <row r="13" spans="1:71" x14ac:dyDescent="0.25">
      <c r="A13" s="4">
        <v>4</v>
      </c>
      <c r="B13" s="4">
        <v>2552</v>
      </c>
      <c r="C13" s="4">
        <v>2640</v>
      </c>
      <c r="D13" s="4">
        <v>527969</v>
      </c>
      <c r="E13" s="4">
        <v>528000</v>
      </c>
      <c r="F13" s="4">
        <v>100000</v>
      </c>
      <c r="G13" s="4">
        <v>100032</v>
      </c>
      <c r="H13" s="4">
        <v>198</v>
      </c>
      <c r="I13" s="4">
        <v>5054</v>
      </c>
      <c r="J13" s="4">
        <v>201662</v>
      </c>
      <c r="K13" s="4">
        <v>201664</v>
      </c>
      <c r="M13" s="4">
        <v>4</v>
      </c>
      <c r="N13" s="4">
        <v>2425</v>
      </c>
      <c r="O13" s="4">
        <v>2791</v>
      </c>
      <c r="P13" s="4">
        <v>558203</v>
      </c>
      <c r="Q13" s="4">
        <v>558208</v>
      </c>
      <c r="R13" s="4">
        <v>100000</v>
      </c>
      <c r="S13" s="4">
        <v>100032</v>
      </c>
      <c r="T13" s="4">
        <v>207</v>
      </c>
      <c r="U13" s="4">
        <v>5098</v>
      </c>
      <c r="V13" s="4">
        <v>201706</v>
      </c>
      <c r="W13" s="4">
        <v>201728</v>
      </c>
      <c r="Y13" s="4">
        <v>4</v>
      </c>
      <c r="Z13" s="4">
        <v>2430</v>
      </c>
      <c r="AA13" s="4">
        <v>2785</v>
      </c>
      <c r="AB13" s="4">
        <v>557344</v>
      </c>
      <c r="AC13" s="4">
        <v>557376</v>
      </c>
      <c r="AD13" s="4">
        <v>100000</v>
      </c>
      <c r="AE13" s="4">
        <v>100032</v>
      </c>
      <c r="AF13" s="4">
        <v>366</v>
      </c>
      <c r="AG13" s="4">
        <v>5875</v>
      </c>
      <c r="AH13" s="4">
        <v>202483</v>
      </c>
      <c r="AI13" s="4">
        <v>202496</v>
      </c>
      <c r="AK13" s="4">
        <v>4</v>
      </c>
      <c r="AL13" s="4">
        <v>2451</v>
      </c>
      <c r="AM13" s="4">
        <v>2759</v>
      </c>
      <c r="AN13" s="4">
        <v>551953</v>
      </c>
      <c r="AO13" s="4">
        <v>551936</v>
      </c>
      <c r="AP13" s="4">
        <v>100000</v>
      </c>
      <c r="AQ13" s="4">
        <v>100032</v>
      </c>
      <c r="AR13" s="4">
        <v>592</v>
      </c>
      <c r="AS13" s="4">
        <v>7056</v>
      </c>
      <c r="AT13" s="4">
        <v>203664</v>
      </c>
      <c r="AU13" s="4">
        <v>203648</v>
      </c>
      <c r="AW13" s="4">
        <v>4</v>
      </c>
      <c r="AX13" s="4">
        <v>2455</v>
      </c>
      <c r="AY13" s="4">
        <v>2754</v>
      </c>
      <c r="AZ13" s="4">
        <v>550781</v>
      </c>
      <c r="BA13" s="4">
        <v>550784</v>
      </c>
      <c r="BB13" s="4">
        <v>100000</v>
      </c>
      <c r="BC13" s="4">
        <v>100032</v>
      </c>
      <c r="BD13" s="4">
        <v>2048</v>
      </c>
      <c r="BE13" s="4">
        <v>16103</v>
      </c>
      <c r="BF13" s="4">
        <v>212711</v>
      </c>
      <c r="BG13" s="4">
        <v>212736</v>
      </c>
      <c r="BI13" s="4">
        <v>4</v>
      </c>
      <c r="BJ13" s="4">
        <v>2460</v>
      </c>
      <c r="BK13" s="4">
        <v>2749</v>
      </c>
      <c r="BL13" s="4">
        <v>549922</v>
      </c>
      <c r="BM13" s="4">
        <v>549952</v>
      </c>
      <c r="BN13" s="4">
        <v>100000</v>
      </c>
      <c r="BO13" s="4">
        <v>100032</v>
      </c>
      <c r="BP13" s="4">
        <v>134</v>
      </c>
      <c r="BQ13" s="4">
        <v>4763</v>
      </c>
      <c r="BR13" s="4">
        <v>201371</v>
      </c>
      <c r="BS13" s="4">
        <v>201344</v>
      </c>
    </row>
    <row r="14" spans="1:71" x14ac:dyDescent="0.25">
      <c r="A14" s="4">
        <v>5</v>
      </c>
      <c r="B14" s="4">
        <v>2552</v>
      </c>
      <c r="C14" s="4">
        <v>2640</v>
      </c>
      <c r="D14" s="4">
        <v>527969</v>
      </c>
      <c r="E14" s="4">
        <v>528000</v>
      </c>
      <c r="F14" s="4">
        <v>100000</v>
      </c>
      <c r="G14" s="4">
        <v>100032</v>
      </c>
      <c r="H14" s="4">
        <v>176</v>
      </c>
      <c r="I14" s="4">
        <v>4956</v>
      </c>
      <c r="J14" s="4">
        <v>201564</v>
      </c>
      <c r="K14" s="4">
        <v>201536</v>
      </c>
      <c r="M14" s="4">
        <v>5</v>
      </c>
      <c r="N14" s="4">
        <v>2427</v>
      </c>
      <c r="O14" s="4">
        <v>2788</v>
      </c>
      <c r="P14" s="4">
        <v>557813</v>
      </c>
      <c r="Q14" s="4">
        <v>557824</v>
      </c>
      <c r="R14" s="4">
        <v>100000</v>
      </c>
      <c r="S14" s="4">
        <v>100032</v>
      </c>
      <c r="T14" s="4">
        <v>219</v>
      </c>
      <c r="U14" s="4">
        <v>5154</v>
      </c>
      <c r="V14" s="4">
        <v>201762</v>
      </c>
      <c r="W14" s="4">
        <v>201792</v>
      </c>
      <c r="Y14" s="4">
        <v>5</v>
      </c>
      <c r="Z14" s="4">
        <v>2430</v>
      </c>
      <c r="AA14" s="4">
        <v>2785</v>
      </c>
      <c r="AB14" s="4">
        <v>557109</v>
      </c>
      <c r="AC14" s="4">
        <v>557120</v>
      </c>
      <c r="AD14" s="4">
        <v>100000</v>
      </c>
      <c r="AE14" s="4">
        <v>100032</v>
      </c>
      <c r="AF14" s="4">
        <v>328</v>
      </c>
      <c r="AG14" s="4">
        <v>5681</v>
      </c>
      <c r="AH14" s="4">
        <v>202289</v>
      </c>
      <c r="AI14" s="4">
        <v>202304</v>
      </c>
      <c r="AK14" s="4">
        <v>5</v>
      </c>
      <c r="AL14" s="4">
        <v>2450</v>
      </c>
      <c r="AM14" s="4">
        <v>2761</v>
      </c>
      <c r="AN14" s="4">
        <v>552188</v>
      </c>
      <c r="AO14" s="4">
        <v>552192</v>
      </c>
      <c r="AP14" s="4">
        <v>100000</v>
      </c>
      <c r="AQ14" s="4">
        <v>100032</v>
      </c>
      <c r="AR14" s="4">
        <v>578</v>
      </c>
      <c r="AS14" s="4">
        <v>6977</v>
      </c>
      <c r="AT14" s="4">
        <v>203585</v>
      </c>
      <c r="AU14" s="4">
        <v>203584</v>
      </c>
      <c r="AW14" s="4">
        <v>5</v>
      </c>
      <c r="AX14" s="4">
        <v>2455</v>
      </c>
      <c r="AY14" s="4">
        <v>2755</v>
      </c>
      <c r="AZ14" s="4">
        <v>551094</v>
      </c>
      <c r="BA14" s="4">
        <v>551104</v>
      </c>
      <c r="BB14" s="4">
        <v>100000</v>
      </c>
      <c r="BC14" s="4">
        <v>100032</v>
      </c>
      <c r="BD14" s="4">
        <v>2048</v>
      </c>
      <c r="BE14" s="4">
        <v>15969</v>
      </c>
      <c r="BF14" s="4">
        <v>212577</v>
      </c>
      <c r="BG14" s="4">
        <v>212608</v>
      </c>
      <c r="BI14" s="4">
        <v>5</v>
      </c>
      <c r="BJ14" s="4">
        <v>2460</v>
      </c>
      <c r="BK14" s="4">
        <v>2748</v>
      </c>
      <c r="BL14" s="4">
        <v>549688</v>
      </c>
      <c r="BM14" s="4">
        <v>549696</v>
      </c>
      <c r="BN14" s="4">
        <v>100000</v>
      </c>
      <c r="BO14" s="4">
        <v>100032</v>
      </c>
      <c r="BP14" s="4">
        <v>117</v>
      </c>
      <c r="BQ14" s="4">
        <v>4687</v>
      </c>
      <c r="BR14" s="4">
        <v>201295</v>
      </c>
      <c r="BS14" s="4">
        <v>201280</v>
      </c>
    </row>
    <row r="15" spans="1:71" x14ac:dyDescent="0.25">
      <c r="A15" s="4">
        <v>6</v>
      </c>
      <c r="B15" s="4">
        <v>2552</v>
      </c>
      <c r="C15" s="4">
        <v>2640</v>
      </c>
      <c r="D15" s="4">
        <v>527969</v>
      </c>
      <c r="E15" s="4">
        <v>528000</v>
      </c>
      <c r="F15" s="4">
        <v>100000</v>
      </c>
      <c r="G15" s="4">
        <v>100032</v>
      </c>
      <c r="H15" s="4">
        <v>222</v>
      </c>
      <c r="I15" s="4">
        <v>5168</v>
      </c>
      <c r="J15" s="4">
        <v>201776</v>
      </c>
      <c r="K15" s="4">
        <v>201792</v>
      </c>
      <c r="M15" s="4">
        <v>6</v>
      </c>
      <c r="N15" s="4">
        <v>2429</v>
      </c>
      <c r="O15" s="4">
        <v>2786</v>
      </c>
      <c r="P15" s="4">
        <v>557188</v>
      </c>
      <c r="Q15" s="4">
        <v>557184</v>
      </c>
      <c r="R15" s="4">
        <v>100000</v>
      </c>
      <c r="S15" s="4">
        <v>100032</v>
      </c>
      <c r="T15" s="4">
        <v>176</v>
      </c>
      <c r="U15" s="4">
        <v>4955</v>
      </c>
      <c r="V15" s="4">
        <v>201563</v>
      </c>
      <c r="W15" s="4">
        <v>201536</v>
      </c>
      <c r="Y15" s="4">
        <v>6</v>
      </c>
      <c r="Z15" s="4">
        <v>2428</v>
      </c>
      <c r="AA15" s="4">
        <v>2787</v>
      </c>
      <c r="AB15" s="4">
        <v>557344</v>
      </c>
      <c r="AC15" s="4">
        <v>557376</v>
      </c>
      <c r="AD15" s="4">
        <v>100000</v>
      </c>
      <c r="AE15" s="4">
        <v>100032</v>
      </c>
      <c r="AF15" s="4">
        <v>347</v>
      </c>
      <c r="AG15" s="4">
        <v>5778</v>
      </c>
      <c r="AH15" s="4">
        <v>202386</v>
      </c>
      <c r="AI15" s="4">
        <v>202368</v>
      </c>
      <c r="AK15" s="4">
        <v>6</v>
      </c>
      <c r="AL15" s="4">
        <v>2449</v>
      </c>
      <c r="AM15" s="4">
        <v>2762</v>
      </c>
      <c r="AN15" s="4">
        <v>552422</v>
      </c>
      <c r="AO15" s="4">
        <v>552448</v>
      </c>
      <c r="AP15" s="4">
        <v>100000</v>
      </c>
      <c r="AQ15" s="4">
        <v>100032</v>
      </c>
      <c r="AR15" s="4">
        <v>586</v>
      </c>
      <c r="AS15" s="4">
        <v>7019</v>
      </c>
      <c r="AT15" s="4">
        <v>203627</v>
      </c>
      <c r="AU15" s="4">
        <v>203648</v>
      </c>
      <c r="AW15" s="4">
        <v>6</v>
      </c>
      <c r="AX15" s="4">
        <v>2455</v>
      </c>
      <c r="AY15" s="4">
        <v>2754</v>
      </c>
      <c r="AZ15" s="4">
        <v>550781</v>
      </c>
      <c r="BA15" s="4">
        <v>550784</v>
      </c>
      <c r="BB15" s="4">
        <v>100000</v>
      </c>
      <c r="BC15" s="4">
        <v>100032</v>
      </c>
      <c r="BD15" s="4">
        <v>2048</v>
      </c>
      <c r="BE15" s="4">
        <v>16102</v>
      </c>
      <c r="BF15" s="4">
        <v>212710</v>
      </c>
      <c r="BG15" s="4">
        <v>212736</v>
      </c>
      <c r="BI15" s="4">
        <v>6</v>
      </c>
      <c r="BJ15" s="4">
        <v>2459</v>
      </c>
      <c r="BK15" s="4">
        <v>2750</v>
      </c>
      <c r="BL15" s="4">
        <v>549766</v>
      </c>
      <c r="BM15" s="4">
        <v>549760</v>
      </c>
      <c r="BN15" s="4">
        <v>100000</v>
      </c>
      <c r="BO15" s="4">
        <v>100032</v>
      </c>
      <c r="BP15" s="4">
        <v>78</v>
      </c>
      <c r="BQ15" s="4">
        <v>4513</v>
      </c>
      <c r="BR15" s="4">
        <v>201121</v>
      </c>
      <c r="BS15" s="4">
        <v>201152</v>
      </c>
    </row>
    <row r="16" spans="1:71" x14ac:dyDescent="0.25">
      <c r="A16" s="4">
        <v>7</v>
      </c>
      <c r="B16" s="4">
        <v>2551</v>
      </c>
      <c r="C16" s="4">
        <v>2641</v>
      </c>
      <c r="D16" s="4">
        <v>528203</v>
      </c>
      <c r="E16" s="4">
        <v>528192</v>
      </c>
      <c r="F16" s="4">
        <v>100000</v>
      </c>
      <c r="G16" s="4">
        <v>100032</v>
      </c>
      <c r="H16" s="4">
        <v>216</v>
      </c>
      <c r="I16" s="4">
        <v>5140</v>
      </c>
      <c r="J16" s="4">
        <v>201748</v>
      </c>
      <c r="K16" s="4">
        <v>201728</v>
      </c>
      <c r="M16" s="4">
        <v>7</v>
      </c>
      <c r="N16" s="4">
        <v>2431</v>
      </c>
      <c r="O16" s="4">
        <v>2784</v>
      </c>
      <c r="P16" s="4">
        <v>557031</v>
      </c>
      <c r="Q16" s="4">
        <v>557056</v>
      </c>
      <c r="R16" s="4">
        <v>100000</v>
      </c>
      <c r="S16" s="4">
        <v>100032</v>
      </c>
      <c r="T16" s="4">
        <v>183</v>
      </c>
      <c r="U16" s="4">
        <v>4986</v>
      </c>
      <c r="V16" s="4">
        <v>201594</v>
      </c>
      <c r="W16" s="4">
        <v>201600</v>
      </c>
      <c r="Y16" s="4">
        <v>7</v>
      </c>
      <c r="Z16" s="4">
        <v>2426</v>
      </c>
      <c r="AA16" s="4">
        <v>2789</v>
      </c>
      <c r="AB16" s="4">
        <v>557734</v>
      </c>
      <c r="AC16" s="4">
        <v>557760</v>
      </c>
      <c r="AD16" s="4">
        <v>100000</v>
      </c>
      <c r="AE16" s="4">
        <v>100032</v>
      </c>
      <c r="AF16" s="4">
        <v>351</v>
      </c>
      <c r="AG16" s="4">
        <v>5798</v>
      </c>
      <c r="AH16" s="4">
        <v>202406</v>
      </c>
      <c r="AI16" s="4">
        <v>202432</v>
      </c>
      <c r="AK16" s="4">
        <v>7</v>
      </c>
      <c r="AL16" s="4">
        <v>2448</v>
      </c>
      <c r="AM16" s="4">
        <v>2763</v>
      </c>
      <c r="AN16" s="4">
        <v>552578</v>
      </c>
      <c r="AO16" s="4">
        <v>552576</v>
      </c>
      <c r="AP16" s="4">
        <v>100000</v>
      </c>
      <c r="AQ16" s="4">
        <v>100032</v>
      </c>
      <c r="AR16" s="4">
        <v>589</v>
      </c>
      <c r="AS16" s="4">
        <v>7036</v>
      </c>
      <c r="AT16" s="4">
        <v>203644</v>
      </c>
      <c r="AU16" s="4">
        <v>203648</v>
      </c>
      <c r="AW16" s="4">
        <v>7</v>
      </c>
      <c r="AX16" s="4">
        <v>2452</v>
      </c>
      <c r="AY16" s="4">
        <v>2758</v>
      </c>
      <c r="AZ16" s="4">
        <v>551328</v>
      </c>
      <c r="BA16" s="4">
        <v>551360</v>
      </c>
      <c r="BB16" s="4">
        <v>100000</v>
      </c>
      <c r="BC16" s="4">
        <v>100032</v>
      </c>
      <c r="BD16" s="4">
        <v>2048</v>
      </c>
      <c r="BE16" s="4">
        <v>16117</v>
      </c>
      <c r="BF16" s="4">
        <v>212725</v>
      </c>
      <c r="BG16" s="4">
        <v>212736</v>
      </c>
      <c r="BI16" s="4">
        <v>7</v>
      </c>
      <c r="BJ16" s="4">
        <v>2458</v>
      </c>
      <c r="BK16" s="4">
        <v>2751</v>
      </c>
      <c r="BL16" s="4">
        <v>550156</v>
      </c>
      <c r="BM16" s="4">
        <v>550144</v>
      </c>
      <c r="BN16" s="4">
        <v>100000</v>
      </c>
      <c r="BO16" s="4">
        <v>100032</v>
      </c>
      <c r="BP16" s="4">
        <v>151</v>
      </c>
      <c r="BQ16" s="4">
        <v>4842</v>
      </c>
      <c r="BR16" s="4">
        <v>201450</v>
      </c>
      <c r="BS16" s="4">
        <v>201472</v>
      </c>
    </row>
    <row r="17" spans="1:71" x14ac:dyDescent="0.25">
      <c r="A17" s="4">
        <v>8</v>
      </c>
      <c r="B17" s="4">
        <v>2550</v>
      </c>
      <c r="C17" s="4">
        <v>2642</v>
      </c>
      <c r="D17" s="4">
        <v>528438</v>
      </c>
      <c r="E17" s="4">
        <v>528448</v>
      </c>
      <c r="F17" s="4">
        <v>100000</v>
      </c>
      <c r="G17" s="4">
        <v>100032</v>
      </c>
      <c r="H17" s="4">
        <v>166</v>
      </c>
      <c r="I17" s="4">
        <v>4910</v>
      </c>
      <c r="J17" s="4">
        <v>201518</v>
      </c>
      <c r="K17" s="4">
        <v>201536</v>
      </c>
      <c r="M17" s="4">
        <v>8</v>
      </c>
      <c r="N17" s="4">
        <v>2431</v>
      </c>
      <c r="O17" s="4">
        <v>2784</v>
      </c>
      <c r="P17" s="4">
        <v>556953</v>
      </c>
      <c r="Q17" s="4">
        <v>556928</v>
      </c>
      <c r="R17" s="4">
        <v>100000</v>
      </c>
      <c r="S17" s="4">
        <v>100032</v>
      </c>
      <c r="T17" s="4">
        <v>200</v>
      </c>
      <c r="U17" s="4">
        <v>5062</v>
      </c>
      <c r="V17" s="4">
        <v>201670</v>
      </c>
      <c r="W17" s="4">
        <v>201664</v>
      </c>
      <c r="Y17" s="4">
        <v>8</v>
      </c>
      <c r="Z17" s="4">
        <v>2425</v>
      </c>
      <c r="AA17" s="4">
        <v>2791</v>
      </c>
      <c r="AB17" s="4">
        <v>558125</v>
      </c>
      <c r="AC17" s="4">
        <v>558144</v>
      </c>
      <c r="AD17" s="4">
        <v>100000</v>
      </c>
      <c r="AE17" s="4">
        <v>100032</v>
      </c>
      <c r="AF17" s="4">
        <v>371</v>
      </c>
      <c r="AG17" s="4">
        <v>5901</v>
      </c>
      <c r="AH17" s="4">
        <v>202509</v>
      </c>
      <c r="AI17" s="4">
        <v>202496</v>
      </c>
      <c r="AK17" s="4">
        <v>8</v>
      </c>
      <c r="AL17" s="4">
        <v>2449</v>
      </c>
      <c r="AM17" s="4">
        <v>2762</v>
      </c>
      <c r="AN17" s="4">
        <v>552500</v>
      </c>
      <c r="AO17" s="4">
        <v>552512</v>
      </c>
      <c r="AP17" s="4">
        <v>100000</v>
      </c>
      <c r="AQ17" s="4">
        <v>100032</v>
      </c>
      <c r="AR17" s="4">
        <v>613</v>
      </c>
      <c r="AS17" s="4">
        <v>7168</v>
      </c>
      <c r="AT17" s="4">
        <v>203776</v>
      </c>
      <c r="AU17" s="4">
        <v>203776</v>
      </c>
      <c r="AW17" s="4">
        <v>8</v>
      </c>
      <c r="AX17" s="4">
        <v>2450</v>
      </c>
      <c r="AY17" s="4">
        <v>2760</v>
      </c>
      <c r="AZ17" s="4">
        <v>552031</v>
      </c>
      <c r="BA17" s="4">
        <v>552000</v>
      </c>
      <c r="BB17" s="4">
        <v>100000</v>
      </c>
      <c r="BC17" s="4">
        <v>100032</v>
      </c>
      <c r="BD17" s="4">
        <v>2048</v>
      </c>
      <c r="BE17" s="4">
        <v>16092</v>
      </c>
      <c r="BF17" s="4">
        <v>212700</v>
      </c>
      <c r="BG17" s="4">
        <v>212672</v>
      </c>
      <c r="BI17" s="4">
        <v>8</v>
      </c>
      <c r="BJ17" s="4">
        <v>2457</v>
      </c>
      <c r="BK17" s="4">
        <v>2752</v>
      </c>
      <c r="BL17" s="4">
        <v>550391</v>
      </c>
      <c r="BM17" s="4">
        <v>550400</v>
      </c>
      <c r="BN17" s="4">
        <v>100000</v>
      </c>
      <c r="BO17" s="4">
        <v>100032</v>
      </c>
      <c r="BP17" s="4">
        <v>172</v>
      </c>
      <c r="BQ17" s="4">
        <v>4935</v>
      </c>
      <c r="BR17" s="4">
        <v>201543</v>
      </c>
      <c r="BS17" s="4">
        <v>201536</v>
      </c>
    </row>
    <row r="18" spans="1:71" x14ac:dyDescent="0.25">
      <c r="A18" s="4">
        <v>9</v>
      </c>
      <c r="B18" s="4">
        <v>2549</v>
      </c>
      <c r="C18" s="4">
        <v>2644</v>
      </c>
      <c r="D18" s="4">
        <v>528672</v>
      </c>
      <c r="E18" s="4">
        <v>528704</v>
      </c>
      <c r="F18" s="4">
        <v>100000</v>
      </c>
      <c r="G18" s="4">
        <v>100032</v>
      </c>
      <c r="H18" s="4">
        <v>215</v>
      </c>
      <c r="I18" s="4">
        <v>5136</v>
      </c>
      <c r="J18" s="4">
        <v>201744</v>
      </c>
      <c r="K18" s="4">
        <v>201728</v>
      </c>
      <c r="M18" s="4">
        <v>9</v>
      </c>
      <c r="N18" s="4">
        <v>2430</v>
      </c>
      <c r="O18" s="4">
        <v>2785</v>
      </c>
      <c r="P18" s="4">
        <v>557031</v>
      </c>
      <c r="Q18" s="4">
        <v>557056</v>
      </c>
      <c r="R18" s="4">
        <v>100000</v>
      </c>
      <c r="S18" s="4">
        <v>100032</v>
      </c>
      <c r="T18" s="4">
        <v>174</v>
      </c>
      <c r="U18" s="4">
        <v>4944</v>
      </c>
      <c r="V18" s="4">
        <v>201547</v>
      </c>
      <c r="W18" s="4">
        <v>201536</v>
      </c>
      <c r="Y18" s="4">
        <v>9</v>
      </c>
      <c r="Z18" s="4">
        <v>2424</v>
      </c>
      <c r="AA18" s="4">
        <v>2792</v>
      </c>
      <c r="AB18" s="4">
        <v>558359</v>
      </c>
      <c r="AC18" s="4">
        <v>558336</v>
      </c>
      <c r="AD18" s="4">
        <v>100000</v>
      </c>
      <c r="AE18" s="4">
        <v>100032</v>
      </c>
      <c r="AF18" s="4">
        <v>356</v>
      </c>
      <c r="AG18" s="4">
        <v>5824</v>
      </c>
      <c r="AH18" s="4">
        <v>202432</v>
      </c>
      <c r="AI18" s="4">
        <v>202432</v>
      </c>
      <c r="AK18" s="4">
        <v>9</v>
      </c>
      <c r="AL18" s="4">
        <v>2447</v>
      </c>
      <c r="AM18" s="4">
        <v>2764</v>
      </c>
      <c r="AN18" s="4">
        <v>552813</v>
      </c>
      <c r="AO18" s="4">
        <v>552832</v>
      </c>
      <c r="AP18" s="4">
        <v>100000</v>
      </c>
      <c r="AQ18" s="4">
        <v>100032</v>
      </c>
      <c r="AR18" s="4">
        <v>629</v>
      </c>
      <c r="AS18" s="4">
        <v>7251</v>
      </c>
      <c r="AT18" s="4">
        <v>203859</v>
      </c>
      <c r="AU18" s="4">
        <v>203840</v>
      </c>
      <c r="AW18" s="4">
        <v>9</v>
      </c>
      <c r="AX18" s="4">
        <v>2450</v>
      </c>
      <c r="AY18" s="4">
        <v>2760</v>
      </c>
      <c r="AZ18" s="4">
        <v>552031</v>
      </c>
      <c r="BA18" s="4">
        <v>552000</v>
      </c>
      <c r="BB18" s="4">
        <v>100000</v>
      </c>
      <c r="BC18" s="4">
        <v>100032</v>
      </c>
      <c r="BD18" s="4">
        <v>2048</v>
      </c>
      <c r="BE18" s="4">
        <v>16066</v>
      </c>
      <c r="BF18" s="4">
        <v>212674</v>
      </c>
      <c r="BG18" s="4">
        <v>212672</v>
      </c>
      <c r="BI18" s="4">
        <v>9</v>
      </c>
      <c r="BJ18" s="4">
        <v>2457</v>
      </c>
      <c r="BK18" s="4">
        <v>2752</v>
      </c>
      <c r="BL18" s="4">
        <v>550547</v>
      </c>
      <c r="BM18" s="4">
        <v>550528</v>
      </c>
      <c r="BN18" s="4">
        <v>100000</v>
      </c>
      <c r="BO18" s="4">
        <v>100032</v>
      </c>
      <c r="BP18" s="4">
        <v>176</v>
      </c>
      <c r="BQ18" s="4">
        <v>4955</v>
      </c>
      <c r="BR18" s="4">
        <v>201563</v>
      </c>
      <c r="BS18" s="4">
        <v>201536</v>
      </c>
    </row>
    <row r="19" spans="1:71" x14ac:dyDescent="0.25">
      <c r="A19" s="4">
        <v>10</v>
      </c>
      <c r="B19" s="4">
        <v>2549</v>
      </c>
      <c r="C19" s="4">
        <v>2644</v>
      </c>
      <c r="D19" s="4">
        <v>528906</v>
      </c>
      <c r="E19" s="4">
        <v>528896</v>
      </c>
      <c r="F19" s="4">
        <v>100000</v>
      </c>
      <c r="G19" s="4">
        <v>100032</v>
      </c>
      <c r="H19" s="4">
        <v>211</v>
      </c>
      <c r="I19" s="4">
        <v>5116</v>
      </c>
      <c r="J19" s="4">
        <v>201724</v>
      </c>
      <c r="K19" s="4">
        <v>201728</v>
      </c>
      <c r="M19" s="4">
        <v>10</v>
      </c>
      <c r="N19" s="4">
        <v>2430</v>
      </c>
      <c r="O19" s="4">
        <v>2785</v>
      </c>
      <c r="P19" s="4">
        <v>557109</v>
      </c>
      <c r="Q19" s="4">
        <v>557120</v>
      </c>
      <c r="R19" s="4">
        <v>100000</v>
      </c>
      <c r="S19" s="4">
        <v>100032</v>
      </c>
      <c r="T19" s="4">
        <v>166</v>
      </c>
      <c r="U19" s="4">
        <v>4907</v>
      </c>
      <c r="V19" s="4">
        <v>201515</v>
      </c>
      <c r="W19" s="4">
        <v>201536</v>
      </c>
      <c r="Y19" s="4">
        <v>10</v>
      </c>
      <c r="Z19" s="4">
        <v>2424</v>
      </c>
      <c r="AA19" s="4">
        <v>2792</v>
      </c>
      <c r="AB19" s="4">
        <v>558438</v>
      </c>
      <c r="AC19" s="4">
        <v>558464</v>
      </c>
      <c r="AD19" s="4">
        <v>100000</v>
      </c>
      <c r="AE19" s="4">
        <v>100032</v>
      </c>
      <c r="AF19" s="4">
        <v>372</v>
      </c>
      <c r="AG19" s="4">
        <v>5906</v>
      </c>
      <c r="AH19" s="4">
        <v>202514</v>
      </c>
      <c r="AI19" s="4">
        <v>202496</v>
      </c>
      <c r="AK19" s="4">
        <v>10</v>
      </c>
      <c r="AL19" s="4">
        <v>2445</v>
      </c>
      <c r="AM19" s="4">
        <v>2766</v>
      </c>
      <c r="AN19" s="4">
        <v>553047</v>
      </c>
      <c r="AO19" s="4">
        <v>553024</v>
      </c>
      <c r="AP19" s="4">
        <v>100000</v>
      </c>
      <c r="AQ19" s="4">
        <v>100032</v>
      </c>
      <c r="AR19" s="4">
        <v>611</v>
      </c>
      <c r="AS19" s="4">
        <v>7157</v>
      </c>
      <c r="AT19" s="4">
        <v>203765</v>
      </c>
      <c r="AU19" s="4">
        <v>203776</v>
      </c>
      <c r="AW19" s="4">
        <v>10</v>
      </c>
      <c r="AX19" s="4">
        <v>2451</v>
      </c>
      <c r="AY19" s="4">
        <v>2759</v>
      </c>
      <c r="AZ19" s="4">
        <v>551797</v>
      </c>
      <c r="BA19" s="4">
        <v>551808</v>
      </c>
      <c r="BB19" s="4">
        <v>100000</v>
      </c>
      <c r="BC19" s="4">
        <v>100032</v>
      </c>
      <c r="BD19" s="4">
        <v>2048</v>
      </c>
      <c r="BE19" s="4">
        <v>16044</v>
      </c>
      <c r="BF19" s="4">
        <v>212652</v>
      </c>
      <c r="BG19" s="4">
        <v>212672</v>
      </c>
      <c r="BI19" s="4">
        <v>10</v>
      </c>
      <c r="BJ19" s="4">
        <v>2457</v>
      </c>
      <c r="BK19" s="4">
        <v>2752</v>
      </c>
      <c r="BL19" s="4">
        <v>550469</v>
      </c>
      <c r="BM19" s="4">
        <v>550464</v>
      </c>
      <c r="BN19" s="4">
        <v>100000</v>
      </c>
      <c r="BO19" s="4">
        <v>100032</v>
      </c>
      <c r="BP19" s="4">
        <v>144</v>
      </c>
      <c r="BQ19" s="4">
        <v>4807</v>
      </c>
      <c r="BR19" s="4">
        <v>201415</v>
      </c>
      <c r="BS19" s="4">
        <v>201408</v>
      </c>
    </row>
    <row r="20" spans="1:71" x14ac:dyDescent="0.25">
      <c r="A20" s="4">
        <v>11</v>
      </c>
      <c r="B20" s="4">
        <v>2548</v>
      </c>
      <c r="C20" s="4">
        <v>2645</v>
      </c>
      <c r="D20" s="4">
        <v>529063</v>
      </c>
      <c r="E20" s="4">
        <v>529088</v>
      </c>
      <c r="F20" s="4">
        <v>100000</v>
      </c>
      <c r="G20" s="4">
        <v>100032</v>
      </c>
      <c r="H20" s="4">
        <v>186</v>
      </c>
      <c r="I20" s="4">
        <v>5001</v>
      </c>
      <c r="J20" s="4">
        <v>201609</v>
      </c>
      <c r="K20" s="4">
        <v>201600</v>
      </c>
      <c r="M20" s="4">
        <v>11</v>
      </c>
      <c r="N20" s="4">
        <v>2429</v>
      </c>
      <c r="O20" s="4">
        <v>2786</v>
      </c>
      <c r="P20" s="4">
        <v>557188</v>
      </c>
      <c r="Q20" s="4">
        <v>557184</v>
      </c>
      <c r="R20" s="4">
        <v>100000</v>
      </c>
      <c r="S20" s="4">
        <v>100032</v>
      </c>
      <c r="T20" s="4">
        <v>200</v>
      </c>
      <c r="U20" s="4">
        <v>5064</v>
      </c>
      <c r="V20" s="4">
        <v>201672</v>
      </c>
      <c r="W20" s="4">
        <v>201664</v>
      </c>
      <c r="Y20" s="4">
        <v>11</v>
      </c>
      <c r="Z20" s="4">
        <v>2424</v>
      </c>
      <c r="AA20" s="4">
        <v>2792</v>
      </c>
      <c r="AB20" s="4">
        <v>558438</v>
      </c>
      <c r="AC20" s="4">
        <v>558464</v>
      </c>
      <c r="AD20" s="4">
        <v>100000</v>
      </c>
      <c r="AE20" s="4">
        <v>100032</v>
      </c>
      <c r="AF20" s="4">
        <v>374</v>
      </c>
      <c r="AG20" s="4">
        <v>5914</v>
      </c>
      <c r="AH20" s="4">
        <v>202522</v>
      </c>
      <c r="AI20" s="4">
        <v>202496</v>
      </c>
      <c r="AK20" s="4">
        <v>11</v>
      </c>
      <c r="AL20" s="4">
        <v>2445</v>
      </c>
      <c r="AM20" s="4">
        <v>2766</v>
      </c>
      <c r="AN20" s="4">
        <v>553203</v>
      </c>
      <c r="AO20" s="4">
        <v>553216</v>
      </c>
      <c r="AP20" s="4">
        <v>100000</v>
      </c>
      <c r="AQ20" s="4">
        <v>100032</v>
      </c>
      <c r="AR20" s="4">
        <v>619</v>
      </c>
      <c r="AS20" s="4">
        <v>7200</v>
      </c>
      <c r="AT20" s="4">
        <v>203808</v>
      </c>
      <c r="AU20" s="4">
        <v>203840</v>
      </c>
      <c r="AW20" s="4">
        <v>11</v>
      </c>
      <c r="AX20" s="4">
        <v>2453</v>
      </c>
      <c r="AY20" s="4">
        <v>2757</v>
      </c>
      <c r="AZ20" s="4">
        <v>551406</v>
      </c>
      <c r="BA20" s="4">
        <v>551424</v>
      </c>
      <c r="BB20" s="4">
        <v>100000</v>
      </c>
      <c r="BC20" s="4">
        <v>100032</v>
      </c>
      <c r="BD20" s="4">
        <v>2048</v>
      </c>
      <c r="BE20" s="4">
        <v>16012</v>
      </c>
      <c r="BF20" s="4">
        <v>212620</v>
      </c>
      <c r="BG20" s="4">
        <v>212608</v>
      </c>
      <c r="BI20" s="4">
        <v>11</v>
      </c>
      <c r="BJ20" s="4">
        <v>2456</v>
      </c>
      <c r="BK20" s="4">
        <v>2753</v>
      </c>
      <c r="BL20" s="4">
        <v>550625</v>
      </c>
      <c r="BM20" s="4">
        <v>550656</v>
      </c>
      <c r="BN20" s="4">
        <v>100000</v>
      </c>
      <c r="BO20" s="4">
        <v>100032</v>
      </c>
      <c r="BP20" s="4">
        <v>183</v>
      </c>
      <c r="BQ20" s="4">
        <v>4986</v>
      </c>
      <c r="BR20" s="4">
        <v>201594</v>
      </c>
      <c r="BS20" s="4">
        <v>201600</v>
      </c>
    </row>
    <row r="21" spans="1:71" x14ac:dyDescent="0.25">
      <c r="A21" s="4">
        <v>12</v>
      </c>
      <c r="B21" s="4">
        <v>2545</v>
      </c>
      <c r="C21" s="4">
        <v>2648</v>
      </c>
      <c r="D21" s="4">
        <v>529453</v>
      </c>
      <c r="E21" s="4">
        <v>529472</v>
      </c>
      <c r="F21" s="4">
        <v>100000</v>
      </c>
      <c r="G21" s="4">
        <v>100032</v>
      </c>
      <c r="H21" s="4">
        <v>216</v>
      </c>
      <c r="I21" s="4">
        <v>5141</v>
      </c>
      <c r="J21" s="4">
        <v>201749</v>
      </c>
      <c r="K21" s="4">
        <v>201728</v>
      </c>
      <c r="M21" s="4">
        <v>12</v>
      </c>
      <c r="N21" s="4">
        <v>2429</v>
      </c>
      <c r="O21" s="4">
        <v>2786</v>
      </c>
      <c r="P21" s="4">
        <v>557266</v>
      </c>
      <c r="Q21" s="4">
        <v>557248</v>
      </c>
      <c r="R21" s="4">
        <v>100000</v>
      </c>
      <c r="S21" s="4">
        <v>100032</v>
      </c>
      <c r="T21" s="4">
        <v>254</v>
      </c>
      <c r="U21" s="4">
        <v>5318</v>
      </c>
      <c r="V21" s="4">
        <v>201926</v>
      </c>
      <c r="W21" s="4">
        <v>201920</v>
      </c>
      <c r="Y21" s="4">
        <v>12</v>
      </c>
      <c r="Z21" s="4">
        <v>2423</v>
      </c>
      <c r="AA21" s="4">
        <v>2793</v>
      </c>
      <c r="AB21" s="4">
        <v>558594</v>
      </c>
      <c r="AC21" s="4">
        <v>558592</v>
      </c>
      <c r="AD21" s="4">
        <v>100000</v>
      </c>
      <c r="AE21" s="4">
        <v>100032</v>
      </c>
      <c r="AF21" s="4">
        <v>399</v>
      </c>
      <c r="AG21" s="4">
        <v>6042</v>
      </c>
      <c r="AH21" s="4">
        <v>202650</v>
      </c>
      <c r="AI21" s="4">
        <v>202624</v>
      </c>
      <c r="AK21" s="4">
        <v>12</v>
      </c>
      <c r="AL21" s="4">
        <v>2445</v>
      </c>
      <c r="AM21" s="4">
        <v>2766</v>
      </c>
      <c r="AN21" s="4">
        <v>553281</v>
      </c>
      <c r="AO21" s="4">
        <v>553280</v>
      </c>
      <c r="AP21" s="4">
        <v>100000</v>
      </c>
      <c r="AQ21" s="4">
        <v>100032</v>
      </c>
      <c r="AR21" s="4">
        <v>601</v>
      </c>
      <c r="AS21" s="4">
        <v>7102</v>
      </c>
      <c r="AT21" s="4">
        <v>203710</v>
      </c>
      <c r="AU21" s="4">
        <v>203712</v>
      </c>
      <c r="AW21" s="4">
        <v>12</v>
      </c>
      <c r="AX21" s="4">
        <v>2457</v>
      </c>
      <c r="AY21" s="4">
        <v>2752</v>
      </c>
      <c r="AZ21" s="4">
        <v>550781</v>
      </c>
      <c r="BA21" s="4">
        <v>550784</v>
      </c>
      <c r="BB21" s="4">
        <v>100000</v>
      </c>
      <c r="BC21" s="4">
        <v>100032</v>
      </c>
      <c r="BD21" s="4">
        <v>2048</v>
      </c>
      <c r="BE21" s="4">
        <v>15842</v>
      </c>
      <c r="BF21" s="4">
        <v>212450</v>
      </c>
      <c r="BG21" s="4">
        <v>212480</v>
      </c>
      <c r="BI21" s="4">
        <v>12</v>
      </c>
      <c r="BJ21" s="4">
        <v>2455</v>
      </c>
      <c r="BK21" s="4">
        <v>2754</v>
      </c>
      <c r="BL21" s="4">
        <v>550859</v>
      </c>
      <c r="BM21" s="4">
        <v>550848</v>
      </c>
      <c r="BN21" s="4">
        <v>100000</v>
      </c>
      <c r="BO21" s="4">
        <v>100032</v>
      </c>
      <c r="BP21" s="4">
        <v>169</v>
      </c>
      <c r="BQ21" s="4">
        <v>4923</v>
      </c>
      <c r="BR21" s="4">
        <v>201531</v>
      </c>
      <c r="BS21" s="4">
        <v>201536</v>
      </c>
    </row>
    <row r="22" spans="1:71" x14ac:dyDescent="0.25">
      <c r="A22" s="4">
        <v>13</v>
      </c>
      <c r="B22" s="4">
        <v>2543</v>
      </c>
      <c r="C22" s="4">
        <v>2651</v>
      </c>
      <c r="D22" s="4">
        <v>530156</v>
      </c>
      <c r="E22" s="4">
        <v>530176</v>
      </c>
      <c r="F22" s="4">
        <v>100000</v>
      </c>
      <c r="G22" s="4">
        <v>100032</v>
      </c>
      <c r="H22" s="4">
        <v>242</v>
      </c>
      <c r="I22" s="4">
        <v>5263</v>
      </c>
      <c r="J22" s="4">
        <v>201871</v>
      </c>
      <c r="K22" s="4">
        <v>201856</v>
      </c>
      <c r="M22" s="4">
        <v>13</v>
      </c>
      <c r="N22" s="4">
        <v>2428</v>
      </c>
      <c r="O22" s="4">
        <v>2787</v>
      </c>
      <c r="P22" s="4">
        <v>557344</v>
      </c>
      <c r="Q22" s="4">
        <v>557376</v>
      </c>
      <c r="R22" s="4">
        <v>100000</v>
      </c>
      <c r="S22" s="4">
        <v>100032</v>
      </c>
      <c r="T22" s="4">
        <v>251</v>
      </c>
      <c r="U22" s="4">
        <v>5304</v>
      </c>
      <c r="V22" s="4">
        <v>201912</v>
      </c>
      <c r="W22" s="4">
        <v>201920</v>
      </c>
      <c r="Y22" s="4">
        <v>13</v>
      </c>
      <c r="Z22" s="4">
        <v>2423</v>
      </c>
      <c r="AA22" s="4">
        <v>2793</v>
      </c>
      <c r="AB22" s="4">
        <v>558672</v>
      </c>
      <c r="AC22" s="4">
        <v>558656</v>
      </c>
      <c r="AD22" s="4">
        <v>100000</v>
      </c>
      <c r="AE22" s="4">
        <v>100032</v>
      </c>
      <c r="AF22" s="4">
        <v>360</v>
      </c>
      <c r="AG22" s="4">
        <v>5843</v>
      </c>
      <c r="AH22" s="4">
        <v>202451</v>
      </c>
      <c r="AI22" s="4">
        <v>202432</v>
      </c>
      <c r="AK22" s="4">
        <v>13</v>
      </c>
      <c r="AL22" s="4">
        <v>2444</v>
      </c>
      <c r="AM22" s="4">
        <v>2768</v>
      </c>
      <c r="AN22" s="4">
        <v>553438</v>
      </c>
      <c r="AO22" s="4">
        <v>553408</v>
      </c>
      <c r="AP22" s="4">
        <v>100000</v>
      </c>
      <c r="AQ22" s="4">
        <v>100032</v>
      </c>
      <c r="AR22" s="4">
        <v>632</v>
      </c>
      <c r="AS22" s="4">
        <v>7268</v>
      </c>
      <c r="AT22" s="4">
        <v>203876</v>
      </c>
      <c r="AU22" s="4">
        <v>203904</v>
      </c>
      <c r="AW22" s="4">
        <v>13</v>
      </c>
      <c r="AX22" s="4">
        <v>2458</v>
      </c>
      <c r="AY22" s="4">
        <v>2751</v>
      </c>
      <c r="AZ22" s="4">
        <v>550313</v>
      </c>
      <c r="BA22" s="4">
        <v>550336</v>
      </c>
      <c r="BB22" s="4">
        <v>100000</v>
      </c>
      <c r="BC22" s="4">
        <v>100032</v>
      </c>
      <c r="BD22" s="4">
        <v>2048</v>
      </c>
      <c r="BE22" s="4">
        <v>15930</v>
      </c>
      <c r="BF22" s="4">
        <v>212538</v>
      </c>
      <c r="BG22" s="4">
        <v>212544</v>
      </c>
      <c r="BI22" s="4">
        <v>13</v>
      </c>
      <c r="BJ22" s="4">
        <v>2454</v>
      </c>
      <c r="BK22" s="4">
        <v>2756</v>
      </c>
      <c r="BL22" s="4">
        <v>551250</v>
      </c>
      <c r="BM22" s="4">
        <v>551232</v>
      </c>
      <c r="BN22" s="4">
        <v>100000</v>
      </c>
      <c r="BO22" s="4">
        <v>100032</v>
      </c>
      <c r="BP22" s="4">
        <v>157</v>
      </c>
      <c r="BQ22" s="4">
        <v>4869</v>
      </c>
      <c r="BR22" s="4">
        <v>201477</v>
      </c>
      <c r="BS22" s="4">
        <v>201472</v>
      </c>
    </row>
    <row r="23" spans="1:71" x14ac:dyDescent="0.25">
      <c r="A23" s="4">
        <v>14</v>
      </c>
      <c r="B23" s="4">
        <v>2541</v>
      </c>
      <c r="C23" s="4">
        <v>2653</v>
      </c>
      <c r="D23" s="4">
        <v>530625</v>
      </c>
      <c r="E23" s="4">
        <v>530624</v>
      </c>
      <c r="F23" s="4">
        <v>100000</v>
      </c>
      <c r="G23" s="4">
        <v>100032</v>
      </c>
      <c r="H23" s="4">
        <v>260</v>
      </c>
      <c r="I23" s="4">
        <v>5351</v>
      </c>
      <c r="J23" s="4">
        <v>201959</v>
      </c>
      <c r="K23" s="4">
        <v>201984</v>
      </c>
      <c r="M23" s="4">
        <v>14</v>
      </c>
      <c r="N23" s="4">
        <v>2427</v>
      </c>
      <c r="O23" s="4">
        <v>2788</v>
      </c>
      <c r="P23" s="4">
        <v>557656</v>
      </c>
      <c r="Q23" s="4">
        <v>557632</v>
      </c>
      <c r="R23" s="4">
        <v>100000</v>
      </c>
      <c r="S23" s="4">
        <v>100032</v>
      </c>
      <c r="T23" s="4">
        <v>221</v>
      </c>
      <c r="U23" s="4">
        <v>5162</v>
      </c>
      <c r="V23" s="4">
        <v>201770</v>
      </c>
      <c r="W23" s="4">
        <v>201792</v>
      </c>
      <c r="Y23" s="4">
        <v>14</v>
      </c>
      <c r="Z23" s="4">
        <v>2423</v>
      </c>
      <c r="AA23" s="4">
        <v>2793</v>
      </c>
      <c r="AB23" s="4">
        <v>558672</v>
      </c>
      <c r="AC23" s="4">
        <v>558656</v>
      </c>
      <c r="AD23" s="4">
        <v>100000</v>
      </c>
      <c r="AE23" s="4">
        <v>100032</v>
      </c>
      <c r="AF23" s="4">
        <v>389</v>
      </c>
      <c r="AG23" s="4">
        <v>5989</v>
      </c>
      <c r="AH23" s="4">
        <v>202597</v>
      </c>
      <c r="AI23" s="4">
        <v>202624</v>
      </c>
      <c r="AK23" s="4">
        <v>14</v>
      </c>
      <c r="AL23" s="4">
        <v>2444</v>
      </c>
      <c r="AM23" s="4">
        <v>2768</v>
      </c>
      <c r="AN23" s="4">
        <v>553672</v>
      </c>
      <c r="AO23" s="4">
        <v>553664</v>
      </c>
      <c r="AP23" s="4">
        <v>100000</v>
      </c>
      <c r="AQ23" s="4">
        <v>100032</v>
      </c>
      <c r="AR23" s="4">
        <v>610</v>
      </c>
      <c r="AS23" s="4">
        <v>7149</v>
      </c>
      <c r="AT23" s="4">
        <v>203757</v>
      </c>
      <c r="AU23" s="4">
        <v>203776</v>
      </c>
      <c r="AW23" s="4">
        <v>14</v>
      </c>
      <c r="AX23" s="4">
        <v>2457</v>
      </c>
      <c r="AY23" s="4">
        <v>2752</v>
      </c>
      <c r="AZ23" s="4">
        <v>550391</v>
      </c>
      <c r="BA23" s="4">
        <v>550400</v>
      </c>
      <c r="BB23" s="4">
        <v>100000</v>
      </c>
      <c r="BC23" s="4">
        <v>100032</v>
      </c>
      <c r="BD23" s="4">
        <v>2048</v>
      </c>
      <c r="BE23" s="4">
        <v>16037</v>
      </c>
      <c r="BF23" s="4">
        <v>212645</v>
      </c>
      <c r="BG23" s="4">
        <v>212672</v>
      </c>
      <c r="BI23" s="4">
        <v>14</v>
      </c>
      <c r="BJ23" s="4">
        <v>2453</v>
      </c>
      <c r="BK23" s="4">
        <v>2757</v>
      </c>
      <c r="BL23" s="4">
        <v>551484</v>
      </c>
      <c r="BM23" s="4">
        <v>551488</v>
      </c>
      <c r="BN23" s="4">
        <v>100000</v>
      </c>
      <c r="BO23" s="4">
        <v>100032</v>
      </c>
      <c r="BP23" s="4">
        <v>144</v>
      </c>
      <c r="BQ23" s="4">
        <v>4808</v>
      </c>
      <c r="BR23" s="4">
        <v>201416</v>
      </c>
      <c r="BS23" s="4">
        <v>201408</v>
      </c>
    </row>
    <row r="24" spans="1:71" x14ac:dyDescent="0.25">
      <c r="A24" s="4">
        <v>15</v>
      </c>
      <c r="B24" s="4">
        <v>2539</v>
      </c>
      <c r="C24" s="4">
        <v>2655</v>
      </c>
      <c r="D24" s="4">
        <v>530938</v>
      </c>
      <c r="E24" s="4">
        <v>530944</v>
      </c>
      <c r="F24" s="4">
        <v>100000</v>
      </c>
      <c r="G24" s="4">
        <v>100032</v>
      </c>
      <c r="H24" s="4">
        <v>221</v>
      </c>
      <c r="I24" s="4">
        <v>5162</v>
      </c>
      <c r="J24" s="4">
        <v>201770</v>
      </c>
      <c r="K24" s="4">
        <v>201792</v>
      </c>
      <c r="M24" s="4">
        <v>15</v>
      </c>
      <c r="N24" s="4">
        <v>2426</v>
      </c>
      <c r="O24" s="4">
        <v>2789</v>
      </c>
      <c r="P24" s="4">
        <v>557734</v>
      </c>
      <c r="Q24" s="4">
        <v>557760</v>
      </c>
      <c r="R24" s="4">
        <v>100000</v>
      </c>
      <c r="S24" s="4">
        <v>100032</v>
      </c>
      <c r="T24" s="4">
        <v>216</v>
      </c>
      <c r="U24" s="4">
        <v>5141</v>
      </c>
      <c r="V24" s="4">
        <v>201749</v>
      </c>
      <c r="W24" s="4">
        <v>201728</v>
      </c>
      <c r="Y24" s="4">
        <v>15</v>
      </c>
      <c r="Z24" s="4">
        <v>2423</v>
      </c>
      <c r="AA24" s="4">
        <v>2793</v>
      </c>
      <c r="AB24" s="4">
        <v>558672</v>
      </c>
      <c r="AC24" s="4">
        <v>558656</v>
      </c>
      <c r="AD24" s="4">
        <v>100000</v>
      </c>
      <c r="AE24" s="4">
        <v>100032</v>
      </c>
      <c r="AF24" s="4">
        <v>354</v>
      </c>
      <c r="AG24" s="4">
        <v>5811</v>
      </c>
      <c r="AH24" s="4">
        <v>202419</v>
      </c>
      <c r="AI24" s="4">
        <v>202432</v>
      </c>
      <c r="AK24" s="4">
        <v>15</v>
      </c>
      <c r="AL24" s="4">
        <v>2444</v>
      </c>
      <c r="AM24" s="4">
        <v>2768</v>
      </c>
      <c r="AN24" s="4">
        <v>553750</v>
      </c>
      <c r="AO24" s="4">
        <v>553728</v>
      </c>
      <c r="AP24" s="4">
        <v>100000</v>
      </c>
      <c r="AQ24" s="4">
        <v>100032</v>
      </c>
      <c r="AR24" s="4">
        <v>582</v>
      </c>
      <c r="AS24" s="4">
        <v>6998</v>
      </c>
      <c r="AT24" s="4">
        <v>203606</v>
      </c>
      <c r="AU24" s="4">
        <v>203584</v>
      </c>
      <c r="AW24" s="4">
        <v>15</v>
      </c>
      <c r="AX24" s="4">
        <v>2456</v>
      </c>
      <c r="AY24" s="4">
        <v>2753</v>
      </c>
      <c r="AZ24" s="4">
        <v>550625</v>
      </c>
      <c r="BA24" s="4">
        <v>550656</v>
      </c>
      <c r="BB24" s="4">
        <v>100000</v>
      </c>
      <c r="BC24" s="4">
        <v>100032</v>
      </c>
      <c r="BD24" s="4">
        <v>2048</v>
      </c>
      <c r="BE24" s="4">
        <v>16081</v>
      </c>
      <c r="BF24" s="4">
        <v>212689</v>
      </c>
      <c r="BG24" s="4">
        <v>212672</v>
      </c>
      <c r="BI24" s="4">
        <v>15</v>
      </c>
      <c r="BJ24" s="4">
        <v>2453</v>
      </c>
      <c r="BK24" s="4">
        <v>2757</v>
      </c>
      <c r="BL24" s="4">
        <v>551484</v>
      </c>
      <c r="BM24" s="4">
        <v>551488</v>
      </c>
      <c r="BN24" s="4">
        <v>100000</v>
      </c>
      <c r="BO24" s="4">
        <v>100032</v>
      </c>
      <c r="BP24" s="4">
        <v>143</v>
      </c>
      <c r="BQ24" s="4">
        <v>4806</v>
      </c>
      <c r="BR24" s="4">
        <v>201414</v>
      </c>
      <c r="BS24" s="4">
        <v>201408</v>
      </c>
    </row>
    <row r="25" spans="1:71" x14ac:dyDescent="0.25">
      <c r="A25" s="4">
        <v>16</v>
      </c>
      <c r="B25" s="4">
        <v>2539</v>
      </c>
      <c r="C25" s="4">
        <v>2655</v>
      </c>
      <c r="D25" s="4">
        <v>531094</v>
      </c>
      <c r="E25" s="4">
        <v>531072</v>
      </c>
      <c r="F25" s="4">
        <v>100000</v>
      </c>
      <c r="G25" s="4">
        <v>100032</v>
      </c>
      <c r="H25" s="4">
        <v>236</v>
      </c>
      <c r="I25" s="4">
        <v>5234</v>
      </c>
      <c r="J25" s="4">
        <v>201842</v>
      </c>
      <c r="K25" s="4">
        <v>201856</v>
      </c>
      <c r="M25" s="4">
        <v>16</v>
      </c>
      <c r="N25" s="4">
        <v>2426</v>
      </c>
      <c r="O25" s="4">
        <v>2789</v>
      </c>
      <c r="P25" s="4">
        <v>557891</v>
      </c>
      <c r="Q25" s="4">
        <v>557888</v>
      </c>
      <c r="R25" s="4">
        <v>100000</v>
      </c>
      <c r="S25" s="4">
        <v>100032</v>
      </c>
      <c r="T25" s="4">
        <v>226</v>
      </c>
      <c r="U25" s="4">
        <v>5185</v>
      </c>
      <c r="V25" s="4">
        <v>201793</v>
      </c>
      <c r="W25" s="4">
        <v>201792</v>
      </c>
      <c r="Y25" s="4">
        <v>16</v>
      </c>
      <c r="Z25" s="4">
        <v>2423</v>
      </c>
      <c r="AA25" s="4">
        <v>2793</v>
      </c>
      <c r="AB25" s="4">
        <v>558750</v>
      </c>
      <c r="AC25" s="4">
        <v>558720</v>
      </c>
      <c r="AD25" s="4">
        <v>100000</v>
      </c>
      <c r="AE25" s="4">
        <v>100032</v>
      </c>
      <c r="AF25" s="4">
        <v>357</v>
      </c>
      <c r="AG25" s="4">
        <v>5829</v>
      </c>
      <c r="AH25" s="4">
        <v>202437</v>
      </c>
      <c r="AI25" s="4">
        <v>202432</v>
      </c>
      <c r="AK25" s="4">
        <v>16</v>
      </c>
      <c r="AL25" s="4">
        <v>2445</v>
      </c>
      <c r="AM25" s="4">
        <v>2767</v>
      </c>
      <c r="AN25" s="4">
        <v>553516</v>
      </c>
      <c r="AO25" s="4">
        <v>553536</v>
      </c>
      <c r="AP25" s="4">
        <v>100000</v>
      </c>
      <c r="AQ25" s="4">
        <v>100032</v>
      </c>
      <c r="AR25" s="4">
        <v>574</v>
      </c>
      <c r="AS25" s="4">
        <v>6959</v>
      </c>
      <c r="AT25" s="4">
        <v>203567</v>
      </c>
      <c r="AU25" s="4">
        <v>203584</v>
      </c>
      <c r="AW25" s="4">
        <v>16</v>
      </c>
      <c r="AX25" s="4">
        <v>2455</v>
      </c>
      <c r="AY25" s="4">
        <v>2754</v>
      </c>
      <c r="AZ25" s="4">
        <v>550781</v>
      </c>
      <c r="BA25" s="4">
        <v>550784</v>
      </c>
      <c r="BB25" s="4">
        <v>100000</v>
      </c>
      <c r="BC25" s="4">
        <v>100032</v>
      </c>
      <c r="BD25" s="4">
        <v>2048</v>
      </c>
      <c r="BE25" s="4">
        <v>16148</v>
      </c>
      <c r="BF25" s="4">
        <v>212756</v>
      </c>
      <c r="BG25" s="4">
        <v>212736</v>
      </c>
      <c r="BI25" s="4">
        <v>16</v>
      </c>
      <c r="BJ25" s="4">
        <v>2455</v>
      </c>
      <c r="BK25" s="4">
        <v>2755</v>
      </c>
      <c r="BL25" s="4">
        <v>551016</v>
      </c>
      <c r="BM25" s="4">
        <v>551040</v>
      </c>
      <c r="BN25" s="4">
        <v>100000</v>
      </c>
      <c r="BO25" s="4">
        <v>100032</v>
      </c>
      <c r="BP25" s="4">
        <v>148</v>
      </c>
      <c r="BQ25" s="4">
        <v>4826</v>
      </c>
      <c r="BR25" s="4">
        <v>201434</v>
      </c>
      <c r="BS25" s="4">
        <v>201408</v>
      </c>
    </row>
    <row r="26" spans="1:71" x14ac:dyDescent="0.25">
      <c r="A26" s="4">
        <v>17</v>
      </c>
      <c r="B26" s="4">
        <v>2539</v>
      </c>
      <c r="C26" s="4">
        <v>2655</v>
      </c>
      <c r="D26" s="4">
        <v>531016</v>
      </c>
      <c r="E26" s="4">
        <v>531008</v>
      </c>
      <c r="F26" s="4">
        <v>100000</v>
      </c>
      <c r="G26" s="4">
        <v>100032</v>
      </c>
      <c r="H26" s="4">
        <v>231</v>
      </c>
      <c r="I26" s="4">
        <v>5210</v>
      </c>
      <c r="J26" s="4">
        <v>201818</v>
      </c>
      <c r="K26" s="4">
        <v>201792</v>
      </c>
      <c r="M26" s="4">
        <v>17</v>
      </c>
      <c r="N26" s="4">
        <v>2426</v>
      </c>
      <c r="O26" s="4">
        <v>2789</v>
      </c>
      <c r="P26" s="4">
        <v>557734</v>
      </c>
      <c r="Q26" s="4">
        <v>557760</v>
      </c>
      <c r="R26" s="4">
        <v>100000</v>
      </c>
      <c r="S26" s="4">
        <v>100032</v>
      </c>
      <c r="T26" s="4">
        <v>199</v>
      </c>
      <c r="U26" s="4">
        <v>5059</v>
      </c>
      <c r="V26" s="4">
        <v>201667</v>
      </c>
      <c r="W26" s="4">
        <v>201664</v>
      </c>
      <c r="Y26" s="4">
        <v>17</v>
      </c>
      <c r="Z26" s="4">
        <v>2421</v>
      </c>
      <c r="AA26" s="4">
        <v>2795</v>
      </c>
      <c r="AB26" s="4">
        <v>558906</v>
      </c>
      <c r="AC26" s="4">
        <v>558912</v>
      </c>
      <c r="AD26" s="4">
        <v>100000</v>
      </c>
      <c r="AE26" s="4">
        <v>100032</v>
      </c>
      <c r="AF26" s="4">
        <v>360</v>
      </c>
      <c r="AG26" s="4">
        <v>5844</v>
      </c>
      <c r="AH26" s="4">
        <v>202452</v>
      </c>
      <c r="AI26" s="4">
        <v>202432</v>
      </c>
      <c r="AK26" s="4">
        <v>17</v>
      </c>
      <c r="AL26" s="4">
        <v>2445</v>
      </c>
      <c r="AM26" s="4">
        <v>2767</v>
      </c>
      <c r="AN26" s="4">
        <v>553438</v>
      </c>
      <c r="AO26" s="4">
        <v>553408</v>
      </c>
      <c r="AP26" s="4">
        <v>100000</v>
      </c>
      <c r="AQ26" s="4">
        <v>100032</v>
      </c>
      <c r="AR26" s="4">
        <v>603</v>
      </c>
      <c r="AS26" s="4">
        <v>7111</v>
      </c>
      <c r="AT26" s="4">
        <v>203719</v>
      </c>
      <c r="AU26" s="4">
        <v>203712</v>
      </c>
      <c r="AW26" s="4">
        <v>17</v>
      </c>
      <c r="AX26" s="4">
        <v>2455</v>
      </c>
      <c r="AY26" s="4">
        <v>2754</v>
      </c>
      <c r="AZ26" s="4">
        <v>550781</v>
      </c>
      <c r="BA26" s="4">
        <v>550784</v>
      </c>
      <c r="BB26" s="4">
        <v>100000</v>
      </c>
      <c r="BC26" s="4">
        <v>100032</v>
      </c>
      <c r="BD26" s="4">
        <v>2048</v>
      </c>
      <c r="BE26" s="4">
        <v>16101</v>
      </c>
      <c r="BF26" s="4">
        <v>212709</v>
      </c>
      <c r="BG26" s="4">
        <v>212736</v>
      </c>
      <c r="BI26" s="4">
        <v>17</v>
      </c>
      <c r="BJ26" s="4">
        <v>2456</v>
      </c>
      <c r="BK26" s="4">
        <v>2753</v>
      </c>
      <c r="BL26" s="4">
        <v>550703</v>
      </c>
      <c r="BM26" s="4">
        <v>550720</v>
      </c>
      <c r="BN26" s="4">
        <v>100000</v>
      </c>
      <c r="BO26" s="4">
        <v>100032</v>
      </c>
      <c r="BP26" s="4">
        <v>175</v>
      </c>
      <c r="BQ26" s="4">
        <v>4951</v>
      </c>
      <c r="BR26" s="4">
        <v>201559</v>
      </c>
      <c r="BS26" s="4">
        <v>201536</v>
      </c>
    </row>
    <row r="27" spans="1:71" x14ac:dyDescent="0.25">
      <c r="A27" s="4">
        <v>18</v>
      </c>
      <c r="B27" s="4">
        <v>2541</v>
      </c>
      <c r="C27" s="4">
        <v>2653</v>
      </c>
      <c r="D27" s="4">
        <v>530781</v>
      </c>
      <c r="E27" s="4">
        <v>530752</v>
      </c>
      <c r="F27" s="4">
        <v>100000</v>
      </c>
      <c r="G27" s="4">
        <v>100032</v>
      </c>
      <c r="H27" s="4">
        <v>258</v>
      </c>
      <c r="I27" s="4">
        <v>5341</v>
      </c>
      <c r="J27" s="4">
        <v>201949</v>
      </c>
      <c r="K27" s="4">
        <v>201920</v>
      </c>
      <c r="M27" s="4">
        <v>18</v>
      </c>
      <c r="N27" s="4">
        <v>2427</v>
      </c>
      <c r="O27" s="4">
        <v>2788</v>
      </c>
      <c r="P27" s="4">
        <v>557656</v>
      </c>
      <c r="Q27" s="4">
        <v>557632</v>
      </c>
      <c r="R27" s="4">
        <v>100000</v>
      </c>
      <c r="S27" s="4">
        <v>100032</v>
      </c>
      <c r="T27" s="4">
        <v>217</v>
      </c>
      <c r="U27" s="4">
        <v>5142</v>
      </c>
      <c r="V27" s="4">
        <v>201750</v>
      </c>
      <c r="W27" s="4">
        <v>201728</v>
      </c>
      <c r="Y27" s="4">
        <v>18</v>
      </c>
      <c r="Z27" s="4">
        <v>2421</v>
      </c>
      <c r="AA27" s="4">
        <v>2796</v>
      </c>
      <c r="AB27" s="4">
        <v>559141</v>
      </c>
      <c r="AC27" s="4">
        <v>559168</v>
      </c>
      <c r="AD27" s="4">
        <v>100000</v>
      </c>
      <c r="AE27" s="4">
        <v>100032</v>
      </c>
      <c r="AF27" s="4">
        <v>338</v>
      </c>
      <c r="AG27" s="4">
        <v>5731</v>
      </c>
      <c r="AH27" s="4">
        <v>202339</v>
      </c>
      <c r="AI27" s="4">
        <v>202368</v>
      </c>
      <c r="AK27" s="4">
        <v>18</v>
      </c>
      <c r="AL27" s="4">
        <v>2445</v>
      </c>
      <c r="AM27" s="4">
        <v>2766</v>
      </c>
      <c r="AN27" s="4">
        <v>553125</v>
      </c>
      <c r="AO27" s="4">
        <v>553152</v>
      </c>
      <c r="AP27" s="4">
        <v>100000</v>
      </c>
      <c r="AQ27" s="4">
        <v>100032</v>
      </c>
      <c r="AR27" s="4">
        <v>583</v>
      </c>
      <c r="AS27" s="4">
        <v>7007</v>
      </c>
      <c r="AT27" s="4">
        <v>203615</v>
      </c>
      <c r="AU27" s="4">
        <v>203584</v>
      </c>
      <c r="AW27" s="4">
        <v>18</v>
      </c>
      <c r="AX27" s="4">
        <v>2455</v>
      </c>
      <c r="AY27" s="4">
        <v>2755</v>
      </c>
      <c r="AZ27" s="4">
        <v>551016</v>
      </c>
      <c r="BA27" s="4">
        <v>551040</v>
      </c>
      <c r="BB27" s="4">
        <v>100000</v>
      </c>
      <c r="BC27" s="4">
        <v>100032</v>
      </c>
      <c r="BD27" s="4">
        <v>2048</v>
      </c>
      <c r="BE27" s="4">
        <v>16014</v>
      </c>
      <c r="BF27" s="4">
        <v>212622</v>
      </c>
      <c r="BG27" s="4">
        <v>212608</v>
      </c>
      <c r="BI27" s="4">
        <v>18</v>
      </c>
      <c r="BJ27" s="4">
        <v>2457</v>
      </c>
      <c r="BK27" s="4">
        <v>2752</v>
      </c>
      <c r="BL27" s="4">
        <v>550625</v>
      </c>
      <c r="BM27" s="4">
        <v>550656</v>
      </c>
      <c r="BN27" s="4">
        <v>100000</v>
      </c>
      <c r="BO27" s="4">
        <v>100032</v>
      </c>
      <c r="BP27" s="4">
        <v>113</v>
      </c>
      <c r="BQ27" s="4">
        <v>4669</v>
      </c>
      <c r="BR27" s="4">
        <v>201277</v>
      </c>
      <c r="BS27" s="4">
        <v>201280</v>
      </c>
    </row>
    <row r="28" spans="1:71" x14ac:dyDescent="0.25">
      <c r="A28" s="4">
        <v>19</v>
      </c>
      <c r="B28" s="4">
        <v>2540</v>
      </c>
      <c r="C28" s="4">
        <v>2654</v>
      </c>
      <c r="D28" s="4">
        <v>530703</v>
      </c>
      <c r="E28" s="4">
        <v>530688</v>
      </c>
      <c r="F28" s="4">
        <v>100000</v>
      </c>
      <c r="G28" s="4">
        <v>100032</v>
      </c>
      <c r="H28" s="4">
        <v>230</v>
      </c>
      <c r="I28" s="4">
        <v>5204</v>
      </c>
      <c r="J28" s="4">
        <v>201812</v>
      </c>
      <c r="K28" s="4">
        <v>201792</v>
      </c>
      <c r="M28" s="4">
        <v>19</v>
      </c>
      <c r="N28" s="4">
        <v>2428</v>
      </c>
      <c r="O28" s="4">
        <v>2787</v>
      </c>
      <c r="P28" s="4">
        <v>557578</v>
      </c>
      <c r="Q28" s="4">
        <v>557568</v>
      </c>
      <c r="R28" s="4">
        <v>100000</v>
      </c>
      <c r="S28" s="4">
        <v>100032</v>
      </c>
      <c r="T28" s="4">
        <v>183</v>
      </c>
      <c r="U28" s="4">
        <v>4987</v>
      </c>
      <c r="V28" s="4">
        <v>201595</v>
      </c>
      <c r="W28" s="4">
        <v>201600</v>
      </c>
      <c r="Y28" s="4">
        <v>19</v>
      </c>
      <c r="Z28" s="4">
        <v>2421</v>
      </c>
      <c r="AA28" s="4">
        <v>2796</v>
      </c>
      <c r="AB28" s="4">
        <v>559219</v>
      </c>
      <c r="AC28" s="4">
        <v>559232</v>
      </c>
      <c r="AD28" s="4">
        <v>100000</v>
      </c>
      <c r="AE28" s="4">
        <v>100032</v>
      </c>
      <c r="AF28" s="4">
        <v>368</v>
      </c>
      <c r="AG28" s="4">
        <v>5886</v>
      </c>
      <c r="AH28" s="4">
        <v>202494</v>
      </c>
      <c r="AI28" s="4">
        <v>202496</v>
      </c>
      <c r="AK28" s="4">
        <v>19</v>
      </c>
      <c r="AL28" s="4">
        <v>2445</v>
      </c>
      <c r="AM28" s="4">
        <v>2766</v>
      </c>
      <c r="AN28" s="4">
        <v>553203</v>
      </c>
      <c r="AO28" s="4">
        <v>553216</v>
      </c>
      <c r="AP28" s="4">
        <v>100000</v>
      </c>
      <c r="AQ28" s="4">
        <v>100032</v>
      </c>
      <c r="AR28" s="4">
        <v>596</v>
      </c>
      <c r="AS28" s="4">
        <v>7077</v>
      </c>
      <c r="AT28" s="4">
        <v>203602</v>
      </c>
      <c r="AU28" s="4">
        <v>203584</v>
      </c>
      <c r="AW28" s="4">
        <v>19</v>
      </c>
      <c r="AX28" s="4">
        <v>2457</v>
      </c>
      <c r="AY28" s="4">
        <v>2752</v>
      </c>
      <c r="AZ28" s="4">
        <v>550703</v>
      </c>
      <c r="BA28" s="4">
        <v>550720</v>
      </c>
      <c r="BB28" s="4">
        <v>100000</v>
      </c>
      <c r="BC28" s="4">
        <v>100032</v>
      </c>
      <c r="BD28" s="4">
        <v>2048</v>
      </c>
      <c r="BE28" s="4">
        <v>16023</v>
      </c>
      <c r="BF28" s="4">
        <v>212631</v>
      </c>
      <c r="BG28" s="4">
        <v>212608</v>
      </c>
      <c r="BI28" s="4">
        <v>19</v>
      </c>
      <c r="BJ28" s="4">
        <v>2457</v>
      </c>
      <c r="BK28" s="4">
        <v>2752</v>
      </c>
      <c r="BL28" s="4">
        <v>550391</v>
      </c>
      <c r="BM28" s="4">
        <v>550400</v>
      </c>
      <c r="BN28" s="4">
        <v>100000</v>
      </c>
      <c r="BO28" s="4">
        <v>100032</v>
      </c>
      <c r="BP28" s="4">
        <v>110</v>
      </c>
      <c r="BQ28" s="4">
        <v>4656</v>
      </c>
      <c r="BR28" s="4">
        <v>201264</v>
      </c>
      <c r="BS28" s="4">
        <v>201280</v>
      </c>
    </row>
    <row r="29" spans="1:71" x14ac:dyDescent="0.25">
      <c r="A29" s="4">
        <v>20</v>
      </c>
      <c r="B29" s="4">
        <v>2539</v>
      </c>
      <c r="C29" s="4">
        <v>2655</v>
      </c>
      <c r="D29" s="4">
        <v>531016</v>
      </c>
      <c r="E29" s="4">
        <v>531008</v>
      </c>
      <c r="F29" s="4">
        <v>100000</v>
      </c>
      <c r="G29" s="4">
        <v>100032</v>
      </c>
      <c r="H29" s="4">
        <v>240</v>
      </c>
      <c r="I29" s="4">
        <v>5252</v>
      </c>
      <c r="J29" s="4">
        <v>201860</v>
      </c>
      <c r="K29" s="4">
        <v>201856</v>
      </c>
      <c r="M29" s="4">
        <v>20</v>
      </c>
      <c r="N29" s="4">
        <v>2430</v>
      </c>
      <c r="O29" s="4">
        <v>2785</v>
      </c>
      <c r="P29" s="4">
        <v>557188</v>
      </c>
      <c r="Q29" s="4">
        <v>557184</v>
      </c>
      <c r="R29" s="4">
        <v>100000</v>
      </c>
      <c r="S29" s="4">
        <v>100032</v>
      </c>
      <c r="T29" s="4">
        <v>196</v>
      </c>
      <c r="U29" s="4">
        <v>5045</v>
      </c>
      <c r="V29" s="4">
        <v>201653</v>
      </c>
      <c r="W29" s="4">
        <v>201664</v>
      </c>
      <c r="Y29" s="4">
        <v>20</v>
      </c>
      <c r="Z29" s="4">
        <v>2421</v>
      </c>
      <c r="AA29" s="4">
        <v>2796</v>
      </c>
      <c r="AB29" s="4">
        <v>559141</v>
      </c>
      <c r="AC29" s="4">
        <v>559168</v>
      </c>
      <c r="AD29" s="4">
        <v>100000</v>
      </c>
      <c r="AE29" s="4">
        <v>100032</v>
      </c>
      <c r="AF29" s="4">
        <v>350</v>
      </c>
      <c r="AG29" s="4">
        <v>5794</v>
      </c>
      <c r="AH29" s="4">
        <v>202234</v>
      </c>
      <c r="AI29" s="4">
        <v>202240</v>
      </c>
      <c r="AK29" s="4">
        <v>20</v>
      </c>
      <c r="AL29" s="4">
        <v>2443</v>
      </c>
      <c r="AM29" s="4">
        <v>2769</v>
      </c>
      <c r="AN29" s="4">
        <v>553594</v>
      </c>
      <c r="AO29" s="4">
        <v>553600</v>
      </c>
      <c r="AP29" s="4">
        <v>100000</v>
      </c>
      <c r="AQ29" s="4">
        <v>100032</v>
      </c>
      <c r="AR29" s="4">
        <v>608</v>
      </c>
      <c r="AS29" s="4">
        <v>7139</v>
      </c>
      <c r="AT29" s="4">
        <v>203747</v>
      </c>
      <c r="AU29" s="4">
        <v>203776</v>
      </c>
      <c r="AW29" s="4">
        <v>20</v>
      </c>
      <c r="AX29" s="4">
        <v>2459</v>
      </c>
      <c r="AY29" s="4">
        <v>2750</v>
      </c>
      <c r="AZ29" s="4">
        <v>550078</v>
      </c>
      <c r="BA29" s="4">
        <v>550080</v>
      </c>
      <c r="BB29" s="4">
        <v>100000</v>
      </c>
      <c r="BC29" s="4">
        <v>100032</v>
      </c>
      <c r="BD29" s="4">
        <v>2048</v>
      </c>
      <c r="BE29" s="4">
        <v>16054</v>
      </c>
      <c r="BF29" s="4">
        <v>212662</v>
      </c>
      <c r="BG29" s="4">
        <v>212672</v>
      </c>
      <c r="BI29" s="4">
        <v>20</v>
      </c>
      <c r="BJ29" s="4">
        <v>2458</v>
      </c>
      <c r="BK29" s="4">
        <v>2751</v>
      </c>
      <c r="BL29" s="4">
        <v>550313</v>
      </c>
      <c r="BM29" s="4">
        <v>550336</v>
      </c>
      <c r="BN29" s="4">
        <v>100000</v>
      </c>
      <c r="BO29" s="4">
        <v>100032</v>
      </c>
      <c r="BP29" s="4">
        <v>108</v>
      </c>
      <c r="BQ29" s="4">
        <v>4644</v>
      </c>
      <c r="BR29" s="4">
        <v>201252</v>
      </c>
      <c r="BS29" s="4">
        <v>201280</v>
      </c>
    </row>
    <row r="30" spans="1:71" x14ac:dyDescent="0.25">
      <c r="A30" s="4">
        <v>21</v>
      </c>
      <c r="B30" s="4">
        <v>2541</v>
      </c>
      <c r="C30" s="4">
        <v>2653</v>
      </c>
      <c r="D30" s="4">
        <v>530625</v>
      </c>
      <c r="E30" s="4">
        <v>530624</v>
      </c>
      <c r="F30" s="4">
        <v>100000</v>
      </c>
      <c r="G30" s="4">
        <v>100032</v>
      </c>
      <c r="H30" s="4">
        <v>225</v>
      </c>
      <c r="I30" s="4">
        <v>5184</v>
      </c>
      <c r="J30" s="4">
        <v>201792</v>
      </c>
      <c r="K30" s="4">
        <v>201792</v>
      </c>
      <c r="M30" s="4">
        <v>21</v>
      </c>
      <c r="N30" s="4">
        <v>2431</v>
      </c>
      <c r="O30" s="4">
        <v>2783</v>
      </c>
      <c r="P30" s="4">
        <v>556563</v>
      </c>
      <c r="Q30" s="4">
        <v>556544</v>
      </c>
      <c r="R30" s="4">
        <v>100000</v>
      </c>
      <c r="S30" s="4">
        <v>100032</v>
      </c>
      <c r="T30" s="4">
        <v>235</v>
      </c>
      <c r="U30" s="4">
        <v>5231</v>
      </c>
      <c r="V30" s="4">
        <v>201839</v>
      </c>
      <c r="W30" s="4">
        <v>201856</v>
      </c>
      <c r="Y30" s="4">
        <v>21</v>
      </c>
      <c r="Z30" s="4">
        <v>2419</v>
      </c>
      <c r="AA30" s="4">
        <v>2798</v>
      </c>
      <c r="AB30" s="4">
        <v>559453</v>
      </c>
      <c r="AC30" s="4">
        <v>559424</v>
      </c>
      <c r="AD30" s="4">
        <v>100000</v>
      </c>
      <c r="AE30" s="4">
        <v>100032</v>
      </c>
      <c r="AF30" s="4">
        <v>367</v>
      </c>
      <c r="AG30" s="4">
        <v>5881</v>
      </c>
      <c r="AH30" s="4">
        <v>202489</v>
      </c>
      <c r="AI30" s="4">
        <v>202496</v>
      </c>
      <c r="AK30" s="4">
        <v>21</v>
      </c>
      <c r="AL30" s="4">
        <v>2444</v>
      </c>
      <c r="AM30" s="4">
        <v>2768</v>
      </c>
      <c r="AN30" s="4">
        <v>553594</v>
      </c>
      <c r="AO30" s="4">
        <v>553600</v>
      </c>
      <c r="AP30" s="4">
        <v>100000</v>
      </c>
      <c r="AQ30" s="4">
        <v>100032</v>
      </c>
      <c r="AR30" s="4">
        <v>602</v>
      </c>
      <c r="AS30" s="4">
        <v>7109</v>
      </c>
      <c r="AT30" s="4">
        <v>203717</v>
      </c>
      <c r="AU30" s="4">
        <v>203712</v>
      </c>
      <c r="AW30" s="4">
        <v>21</v>
      </c>
      <c r="AX30" s="4">
        <v>2458</v>
      </c>
      <c r="AY30" s="4">
        <v>2751</v>
      </c>
      <c r="AZ30" s="4">
        <v>550156</v>
      </c>
      <c r="BA30" s="4">
        <v>550144</v>
      </c>
      <c r="BB30" s="4">
        <v>100000</v>
      </c>
      <c r="BC30" s="4">
        <v>100032</v>
      </c>
      <c r="BD30" s="4">
        <v>2048</v>
      </c>
      <c r="BE30" s="4">
        <v>16157</v>
      </c>
      <c r="BF30" s="4">
        <v>212765</v>
      </c>
      <c r="BG30" s="4">
        <v>212736</v>
      </c>
      <c r="BI30" s="4">
        <v>21</v>
      </c>
      <c r="BJ30" s="4">
        <v>2458</v>
      </c>
      <c r="BK30" s="4">
        <v>2751</v>
      </c>
      <c r="BL30" s="4">
        <v>550156</v>
      </c>
      <c r="BM30" s="4">
        <v>550144</v>
      </c>
      <c r="BN30" s="4">
        <v>100000</v>
      </c>
      <c r="BO30" s="4">
        <v>100032</v>
      </c>
      <c r="BP30" s="4">
        <v>120</v>
      </c>
      <c r="BQ30" s="4">
        <v>4697</v>
      </c>
      <c r="BR30" s="4">
        <v>201305</v>
      </c>
      <c r="BS30" s="4">
        <v>201280</v>
      </c>
    </row>
    <row r="31" spans="1:71" x14ac:dyDescent="0.25">
      <c r="A31" s="4">
        <v>22</v>
      </c>
      <c r="B31" s="4">
        <v>2544</v>
      </c>
      <c r="C31" s="4">
        <v>2649</v>
      </c>
      <c r="D31" s="4">
        <v>530156</v>
      </c>
      <c r="E31" s="4">
        <v>530176</v>
      </c>
      <c r="F31" s="4">
        <v>100000</v>
      </c>
      <c r="G31" s="4">
        <v>100032</v>
      </c>
      <c r="H31" s="4">
        <v>208</v>
      </c>
      <c r="I31" s="4">
        <v>5101</v>
      </c>
      <c r="J31" s="4">
        <v>201709</v>
      </c>
      <c r="K31" s="4">
        <v>201728</v>
      </c>
      <c r="M31" s="4">
        <v>22</v>
      </c>
      <c r="N31" s="4">
        <v>2432</v>
      </c>
      <c r="O31" s="4">
        <v>2782</v>
      </c>
      <c r="P31" s="4">
        <v>556328</v>
      </c>
      <c r="Q31" s="4">
        <v>556352</v>
      </c>
      <c r="R31" s="4">
        <v>100000</v>
      </c>
      <c r="S31" s="4">
        <v>100032</v>
      </c>
      <c r="T31" s="4">
        <v>214</v>
      </c>
      <c r="U31" s="4">
        <v>5130</v>
      </c>
      <c r="V31" s="4">
        <v>201738</v>
      </c>
      <c r="W31" s="4">
        <v>201728</v>
      </c>
      <c r="Y31" s="4">
        <v>22</v>
      </c>
      <c r="Z31" s="4">
        <v>2420</v>
      </c>
      <c r="AA31" s="4">
        <v>2797</v>
      </c>
      <c r="AB31" s="4">
        <v>559453</v>
      </c>
      <c r="AC31" s="4">
        <v>559424</v>
      </c>
      <c r="AD31" s="4">
        <v>100000</v>
      </c>
      <c r="AE31" s="4">
        <v>100032</v>
      </c>
      <c r="AF31" s="4">
        <v>351</v>
      </c>
      <c r="AG31" s="4">
        <v>5799</v>
      </c>
      <c r="AH31" s="4">
        <v>202407</v>
      </c>
      <c r="AI31" s="4">
        <v>202432</v>
      </c>
      <c r="AK31" s="4">
        <v>22</v>
      </c>
      <c r="AL31" s="4">
        <v>2445</v>
      </c>
      <c r="AM31" s="4">
        <v>2767</v>
      </c>
      <c r="AN31" s="4">
        <v>553516</v>
      </c>
      <c r="AO31" s="4">
        <v>553536</v>
      </c>
      <c r="AP31" s="4">
        <v>100000</v>
      </c>
      <c r="AQ31" s="4">
        <v>100032</v>
      </c>
      <c r="AR31" s="4">
        <v>594</v>
      </c>
      <c r="AS31" s="4">
        <v>7065</v>
      </c>
      <c r="AT31" s="4">
        <v>203673</v>
      </c>
      <c r="AU31" s="4">
        <v>203648</v>
      </c>
      <c r="AW31" s="4">
        <v>22</v>
      </c>
      <c r="AX31" s="4">
        <v>2457</v>
      </c>
      <c r="AY31" s="4">
        <v>2752</v>
      </c>
      <c r="AZ31" s="4">
        <v>550469</v>
      </c>
      <c r="BA31" s="4">
        <v>550464</v>
      </c>
      <c r="BB31" s="4">
        <v>100000</v>
      </c>
      <c r="BC31" s="4">
        <v>100032</v>
      </c>
      <c r="BD31" s="4">
        <v>2048</v>
      </c>
      <c r="BE31" s="4">
        <v>16185</v>
      </c>
      <c r="BF31" s="4">
        <v>212793</v>
      </c>
      <c r="BG31" s="4">
        <v>212800</v>
      </c>
      <c r="BI31" s="4">
        <v>22</v>
      </c>
      <c r="BJ31" s="4">
        <v>2461</v>
      </c>
      <c r="BK31" s="4">
        <v>2747</v>
      </c>
      <c r="BL31" s="4">
        <v>549844</v>
      </c>
      <c r="BM31" s="4">
        <v>549824</v>
      </c>
      <c r="BN31" s="4">
        <v>100000</v>
      </c>
      <c r="BO31" s="4">
        <v>100032</v>
      </c>
      <c r="BP31" s="4">
        <v>112</v>
      </c>
      <c r="BQ31" s="4">
        <v>4662</v>
      </c>
      <c r="BR31" s="4">
        <v>201270</v>
      </c>
      <c r="BS31" s="4">
        <v>201280</v>
      </c>
    </row>
    <row r="32" spans="1:71" x14ac:dyDescent="0.25">
      <c r="A32" s="4">
        <v>23</v>
      </c>
      <c r="B32" s="4">
        <v>2546</v>
      </c>
      <c r="C32" s="4">
        <v>2647</v>
      </c>
      <c r="D32" s="4">
        <v>529688</v>
      </c>
      <c r="E32" s="4">
        <v>529664</v>
      </c>
      <c r="F32" s="4">
        <v>100000</v>
      </c>
      <c r="G32" s="4">
        <v>100032</v>
      </c>
      <c r="H32" s="4">
        <v>212</v>
      </c>
      <c r="I32" s="4">
        <v>5119</v>
      </c>
      <c r="J32" s="4">
        <v>201727</v>
      </c>
      <c r="K32" s="4">
        <v>201728</v>
      </c>
      <c r="M32" s="4">
        <v>23</v>
      </c>
      <c r="N32" s="4">
        <v>2433</v>
      </c>
      <c r="O32" s="4">
        <v>2781</v>
      </c>
      <c r="P32" s="4">
        <v>556250</v>
      </c>
      <c r="Q32" s="4">
        <v>556224</v>
      </c>
      <c r="R32" s="4">
        <v>100000</v>
      </c>
      <c r="S32" s="4">
        <v>100032</v>
      </c>
      <c r="T32" s="4">
        <v>195</v>
      </c>
      <c r="U32" s="4">
        <v>5042</v>
      </c>
      <c r="V32" s="4">
        <v>201650</v>
      </c>
      <c r="W32" s="4">
        <v>201664</v>
      </c>
      <c r="Y32" s="4">
        <v>23</v>
      </c>
      <c r="Z32" s="4">
        <v>2419</v>
      </c>
      <c r="AA32" s="4">
        <v>2798</v>
      </c>
      <c r="AB32" s="4">
        <v>559531</v>
      </c>
      <c r="AC32" s="4">
        <v>559552</v>
      </c>
      <c r="AD32" s="4">
        <v>100000</v>
      </c>
      <c r="AE32" s="4">
        <v>100032</v>
      </c>
      <c r="AF32" s="4">
        <v>357</v>
      </c>
      <c r="AG32" s="4">
        <v>5827</v>
      </c>
      <c r="AH32" s="4">
        <v>202435</v>
      </c>
      <c r="AI32" s="4">
        <v>202432</v>
      </c>
      <c r="AK32" s="4">
        <v>23</v>
      </c>
      <c r="AL32" s="4">
        <v>2445</v>
      </c>
      <c r="AM32" s="4">
        <v>2767</v>
      </c>
      <c r="AN32" s="4">
        <v>553516</v>
      </c>
      <c r="AO32" s="4">
        <v>553536</v>
      </c>
      <c r="AP32" s="4">
        <v>100000</v>
      </c>
      <c r="AQ32" s="4">
        <v>100032</v>
      </c>
      <c r="AR32" s="4">
        <v>591</v>
      </c>
      <c r="AS32" s="4">
        <v>7050</v>
      </c>
      <c r="AT32" s="4">
        <v>203658</v>
      </c>
      <c r="AU32" s="4">
        <v>203648</v>
      </c>
      <c r="AW32" s="4">
        <v>23</v>
      </c>
      <c r="AX32" s="4">
        <v>2455</v>
      </c>
      <c r="AY32" s="4">
        <v>2755</v>
      </c>
      <c r="AZ32" s="4">
        <v>550859</v>
      </c>
      <c r="BA32" s="4">
        <v>550848</v>
      </c>
      <c r="BB32" s="4">
        <v>100000</v>
      </c>
      <c r="BC32" s="4">
        <v>100032</v>
      </c>
      <c r="BD32" s="4">
        <v>2048</v>
      </c>
      <c r="BE32" s="4">
        <v>16168</v>
      </c>
      <c r="BF32" s="4">
        <v>212776</v>
      </c>
      <c r="BG32" s="4">
        <v>212800</v>
      </c>
      <c r="BI32" s="4">
        <v>23</v>
      </c>
      <c r="BJ32" s="4">
        <v>2463</v>
      </c>
      <c r="BK32" s="4">
        <v>2745</v>
      </c>
      <c r="BL32" s="4">
        <v>549297</v>
      </c>
      <c r="BM32" s="4">
        <v>549312</v>
      </c>
      <c r="BN32" s="4">
        <v>100000</v>
      </c>
      <c r="BO32" s="4">
        <v>100032</v>
      </c>
      <c r="BP32" s="4">
        <v>91</v>
      </c>
      <c r="BQ32" s="4">
        <v>4568</v>
      </c>
      <c r="BR32" s="4">
        <v>201176</v>
      </c>
      <c r="BS32" s="4">
        <v>201152</v>
      </c>
    </row>
    <row r="33" spans="1:71" x14ac:dyDescent="0.25">
      <c r="A33" s="4">
        <v>24</v>
      </c>
      <c r="B33" s="4">
        <v>2547</v>
      </c>
      <c r="C33" s="4">
        <v>2646</v>
      </c>
      <c r="D33" s="4">
        <v>529219</v>
      </c>
      <c r="E33" s="4">
        <v>529216</v>
      </c>
      <c r="F33" s="4">
        <v>100000</v>
      </c>
      <c r="G33" s="4">
        <v>100032</v>
      </c>
      <c r="H33" s="4">
        <v>195</v>
      </c>
      <c r="I33" s="4">
        <v>5040</v>
      </c>
      <c r="J33" s="4">
        <v>201648</v>
      </c>
      <c r="K33" s="4">
        <v>201664</v>
      </c>
      <c r="M33" s="4">
        <v>24</v>
      </c>
      <c r="N33" s="4">
        <v>2432</v>
      </c>
      <c r="O33" s="4">
        <v>2782</v>
      </c>
      <c r="P33" s="4">
        <v>556250</v>
      </c>
      <c r="Q33" s="4">
        <v>556224</v>
      </c>
      <c r="R33" s="4">
        <v>100000</v>
      </c>
      <c r="S33" s="4">
        <v>100032</v>
      </c>
      <c r="T33" s="4">
        <v>135</v>
      </c>
      <c r="U33" s="4">
        <v>4768</v>
      </c>
      <c r="V33" s="4">
        <v>201376</v>
      </c>
      <c r="W33" s="4">
        <v>201408</v>
      </c>
      <c r="Y33" s="4">
        <v>24</v>
      </c>
      <c r="Z33" s="4">
        <v>2419</v>
      </c>
      <c r="AA33" s="4">
        <v>2798</v>
      </c>
      <c r="AB33" s="4">
        <v>559688</v>
      </c>
      <c r="AC33" s="4">
        <v>559680</v>
      </c>
      <c r="AD33" s="4">
        <v>100000</v>
      </c>
      <c r="AE33" s="4">
        <v>100032</v>
      </c>
      <c r="AF33" s="4">
        <v>372</v>
      </c>
      <c r="AG33" s="4">
        <v>5905</v>
      </c>
      <c r="AH33" s="4">
        <v>202602</v>
      </c>
      <c r="AI33" s="4">
        <v>202624</v>
      </c>
      <c r="AK33" s="4">
        <v>24</v>
      </c>
      <c r="AL33" s="4">
        <v>2444</v>
      </c>
      <c r="AM33" s="4">
        <v>2768</v>
      </c>
      <c r="AN33" s="4">
        <v>553750</v>
      </c>
      <c r="AO33" s="4">
        <v>553728</v>
      </c>
      <c r="AP33" s="4">
        <v>100000</v>
      </c>
      <c r="AQ33" s="4">
        <v>100032</v>
      </c>
      <c r="AR33" s="4">
        <v>614</v>
      </c>
      <c r="AS33" s="4">
        <v>7172</v>
      </c>
      <c r="AT33" s="4">
        <v>203780</v>
      </c>
      <c r="AU33" s="4">
        <v>203776</v>
      </c>
      <c r="AW33" s="4">
        <v>24</v>
      </c>
      <c r="AX33" s="4">
        <v>2455</v>
      </c>
      <c r="AY33" s="4">
        <v>2755</v>
      </c>
      <c r="AZ33" s="4">
        <v>551016</v>
      </c>
      <c r="BA33" s="4">
        <v>551040</v>
      </c>
      <c r="BB33" s="4">
        <v>100000</v>
      </c>
      <c r="BC33" s="4">
        <v>100032</v>
      </c>
      <c r="BD33" s="4">
        <v>2048</v>
      </c>
      <c r="BE33" s="4">
        <v>16146</v>
      </c>
      <c r="BF33" s="4">
        <v>212754</v>
      </c>
      <c r="BG33" s="4">
        <v>212736</v>
      </c>
      <c r="BI33" s="4">
        <v>24</v>
      </c>
      <c r="BJ33" s="4">
        <v>2464</v>
      </c>
      <c r="BK33" s="4">
        <v>2743</v>
      </c>
      <c r="BL33" s="4">
        <v>548516</v>
      </c>
      <c r="BM33" s="4">
        <v>548544</v>
      </c>
      <c r="BN33" s="4">
        <v>100000</v>
      </c>
      <c r="BO33" s="4">
        <v>100032</v>
      </c>
      <c r="BP33" s="4">
        <v>92</v>
      </c>
      <c r="BQ33" s="4">
        <v>4575</v>
      </c>
      <c r="BR33" s="4">
        <v>201183</v>
      </c>
      <c r="BS33" s="4">
        <v>201152</v>
      </c>
    </row>
    <row r="34" spans="1:71" x14ac:dyDescent="0.25">
      <c r="A34" s="4">
        <v>25</v>
      </c>
      <c r="B34" s="4">
        <v>2547</v>
      </c>
      <c r="C34" s="4">
        <v>2646</v>
      </c>
      <c r="D34" s="4">
        <v>529219</v>
      </c>
      <c r="E34" s="4">
        <v>529216</v>
      </c>
      <c r="F34" s="4">
        <v>100000</v>
      </c>
      <c r="G34" s="4">
        <v>100032</v>
      </c>
      <c r="H34" s="4">
        <v>219</v>
      </c>
      <c r="I34" s="4">
        <v>5154</v>
      </c>
      <c r="J34" s="4">
        <v>201762</v>
      </c>
      <c r="K34" s="4">
        <v>201792</v>
      </c>
      <c r="M34" s="4">
        <v>25</v>
      </c>
      <c r="N34" s="4">
        <v>2432</v>
      </c>
      <c r="O34" s="4">
        <v>2782</v>
      </c>
      <c r="P34" s="4">
        <v>556328</v>
      </c>
      <c r="Q34" s="4">
        <v>556352</v>
      </c>
      <c r="R34" s="4">
        <v>100000</v>
      </c>
      <c r="S34" s="4">
        <v>100032</v>
      </c>
      <c r="T34" s="4">
        <v>150</v>
      </c>
      <c r="U34" s="4">
        <v>4836</v>
      </c>
      <c r="V34" s="4">
        <v>201444</v>
      </c>
      <c r="W34" s="4">
        <v>201472</v>
      </c>
      <c r="Y34" s="4">
        <v>25</v>
      </c>
      <c r="Z34" s="4">
        <v>2417</v>
      </c>
      <c r="AA34" s="4">
        <v>2800</v>
      </c>
      <c r="AB34" s="4">
        <v>560000</v>
      </c>
      <c r="AC34" s="4">
        <v>560000</v>
      </c>
      <c r="AD34" s="4">
        <v>100000</v>
      </c>
      <c r="AE34" s="4">
        <v>100032</v>
      </c>
      <c r="AF34" s="4">
        <v>365</v>
      </c>
      <c r="AG34" s="4">
        <v>5870</v>
      </c>
      <c r="AH34" s="4">
        <v>202478</v>
      </c>
      <c r="AI34" s="4">
        <v>202496</v>
      </c>
      <c r="AK34" s="4">
        <v>25</v>
      </c>
      <c r="AL34" s="4">
        <v>2443</v>
      </c>
      <c r="AM34" s="4">
        <v>2769</v>
      </c>
      <c r="AN34" s="4">
        <v>553750</v>
      </c>
      <c r="AO34" s="4">
        <v>553728</v>
      </c>
      <c r="AP34" s="4">
        <v>100000</v>
      </c>
      <c r="AQ34" s="4">
        <v>100032</v>
      </c>
      <c r="AR34" s="4">
        <v>590</v>
      </c>
      <c r="AS34" s="4">
        <v>7042</v>
      </c>
      <c r="AT34" s="4">
        <v>203650</v>
      </c>
      <c r="AU34" s="4">
        <v>203648</v>
      </c>
      <c r="AW34" s="4">
        <v>25</v>
      </c>
      <c r="AX34" s="4">
        <v>2456</v>
      </c>
      <c r="AY34" s="4">
        <v>2753</v>
      </c>
      <c r="AZ34" s="4">
        <v>550703</v>
      </c>
      <c r="BA34" s="4">
        <v>550720</v>
      </c>
      <c r="BB34" s="4">
        <v>100000</v>
      </c>
      <c r="BC34" s="4">
        <v>100032</v>
      </c>
      <c r="BD34" s="4">
        <v>2048</v>
      </c>
      <c r="BE34" s="4">
        <v>16063</v>
      </c>
      <c r="BF34" s="4">
        <v>212671</v>
      </c>
      <c r="BG34" s="4">
        <v>212672</v>
      </c>
      <c r="BI34" s="4">
        <v>25</v>
      </c>
      <c r="BJ34" s="4">
        <v>2466</v>
      </c>
      <c r="BK34" s="4">
        <v>2741</v>
      </c>
      <c r="BL34" s="4">
        <v>548203</v>
      </c>
      <c r="BM34" s="4">
        <v>548224</v>
      </c>
      <c r="BN34" s="4">
        <v>100000</v>
      </c>
      <c r="BO34" s="4">
        <v>100032</v>
      </c>
      <c r="BP34" s="4">
        <v>54</v>
      </c>
      <c r="BQ34" s="4">
        <v>4410</v>
      </c>
      <c r="BR34" s="4">
        <v>201018</v>
      </c>
      <c r="BS34" s="4">
        <v>201024</v>
      </c>
    </row>
    <row r="35" spans="1:71" x14ac:dyDescent="0.25">
      <c r="A35" s="4">
        <v>26</v>
      </c>
      <c r="B35" s="4">
        <v>2546</v>
      </c>
      <c r="C35" s="4">
        <v>2647</v>
      </c>
      <c r="D35" s="4">
        <v>529531</v>
      </c>
      <c r="E35" s="4">
        <v>529536</v>
      </c>
      <c r="F35" s="4">
        <v>100000</v>
      </c>
      <c r="G35" s="4">
        <v>100032</v>
      </c>
      <c r="H35" s="4">
        <v>213</v>
      </c>
      <c r="I35" s="4">
        <v>5123</v>
      </c>
      <c r="J35" s="4">
        <v>201731</v>
      </c>
      <c r="K35" s="4">
        <v>201728</v>
      </c>
      <c r="M35" s="4">
        <v>26</v>
      </c>
      <c r="N35" s="4">
        <v>2432</v>
      </c>
      <c r="O35" s="4">
        <v>2782</v>
      </c>
      <c r="P35" s="4">
        <v>556406</v>
      </c>
      <c r="Q35" s="4">
        <v>556416</v>
      </c>
      <c r="R35" s="4">
        <v>100000</v>
      </c>
      <c r="S35" s="4">
        <v>100032</v>
      </c>
      <c r="T35" s="4">
        <v>155</v>
      </c>
      <c r="U35" s="4">
        <v>4861</v>
      </c>
      <c r="V35" s="4">
        <v>201469</v>
      </c>
      <c r="W35" s="4">
        <v>201472</v>
      </c>
      <c r="Y35" s="4">
        <v>26</v>
      </c>
      <c r="Z35" s="4">
        <v>2417</v>
      </c>
      <c r="AA35" s="4">
        <v>2801</v>
      </c>
      <c r="AB35" s="4">
        <v>560234</v>
      </c>
      <c r="AC35" s="4">
        <v>560256</v>
      </c>
      <c r="AD35" s="4">
        <v>100000</v>
      </c>
      <c r="AE35" s="4">
        <v>100032</v>
      </c>
      <c r="AF35" s="4">
        <v>375</v>
      </c>
      <c r="AG35" s="4">
        <v>5919</v>
      </c>
      <c r="AH35" s="4">
        <v>202527</v>
      </c>
      <c r="AI35" s="4">
        <v>202496</v>
      </c>
      <c r="AK35" s="4">
        <v>26</v>
      </c>
      <c r="AL35" s="4">
        <v>2445</v>
      </c>
      <c r="AM35" s="4">
        <v>2767</v>
      </c>
      <c r="AN35" s="4">
        <v>553516</v>
      </c>
      <c r="AO35" s="4">
        <v>553536</v>
      </c>
      <c r="AP35" s="4">
        <v>100000</v>
      </c>
      <c r="AQ35" s="4">
        <v>100032</v>
      </c>
      <c r="AR35" s="4">
        <v>582</v>
      </c>
      <c r="AS35" s="4">
        <v>6998</v>
      </c>
      <c r="AT35" s="4">
        <v>203606</v>
      </c>
      <c r="AU35" s="4">
        <v>203584</v>
      </c>
      <c r="AW35" s="4">
        <v>26</v>
      </c>
      <c r="AX35" s="4">
        <v>2458</v>
      </c>
      <c r="AY35" s="4">
        <v>2751</v>
      </c>
      <c r="AZ35" s="4">
        <v>550234</v>
      </c>
      <c r="BA35" s="4">
        <v>550208</v>
      </c>
      <c r="BB35" s="4">
        <v>100000</v>
      </c>
      <c r="BC35" s="4">
        <v>100032</v>
      </c>
      <c r="BD35" s="4">
        <v>2048</v>
      </c>
      <c r="BE35" s="4">
        <v>16012</v>
      </c>
      <c r="BF35" s="4">
        <v>212620</v>
      </c>
      <c r="BG35" s="4">
        <v>212608</v>
      </c>
      <c r="BI35" s="4">
        <v>26</v>
      </c>
      <c r="BJ35" s="4">
        <v>2467</v>
      </c>
      <c r="BK35" s="4">
        <v>2740</v>
      </c>
      <c r="BL35" s="4">
        <v>548125</v>
      </c>
      <c r="BM35" s="4">
        <v>548096</v>
      </c>
      <c r="BN35" s="4">
        <v>100000</v>
      </c>
      <c r="BO35" s="4">
        <v>100032</v>
      </c>
      <c r="BP35" s="4">
        <v>79</v>
      </c>
      <c r="BQ35" s="4">
        <v>4515</v>
      </c>
      <c r="BR35" s="4">
        <v>201123</v>
      </c>
      <c r="BS35" s="4">
        <v>201152</v>
      </c>
    </row>
    <row r="36" spans="1:71" x14ac:dyDescent="0.25">
      <c r="A36" s="4">
        <v>27</v>
      </c>
      <c r="B36" s="4">
        <v>2544</v>
      </c>
      <c r="C36" s="4">
        <v>2649</v>
      </c>
      <c r="D36" s="4">
        <v>529688</v>
      </c>
      <c r="E36" s="4">
        <v>529664</v>
      </c>
      <c r="F36" s="4">
        <v>100000</v>
      </c>
      <c r="G36" s="4">
        <v>100032</v>
      </c>
      <c r="H36" s="4">
        <v>200</v>
      </c>
      <c r="I36" s="4">
        <v>5062</v>
      </c>
      <c r="J36" s="4">
        <v>201670</v>
      </c>
      <c r="K36" s="4">
        <v>201664</v>
      </c>
      <c r="M36" s="4">
        <v>27</v>
      </c>
      <c r="N36" s="4">
        <v>2432</v>
      </c>
      <c r="O36" s="4">
        <v>2782</v>
      </c>
      <c r="P36" s="4">
        <v>556484</v>
      </c>
      <c r="Q36" s="4">
        <v>556480</v>
      </c>
      <c r="R36" s="4">
        <v>100000</v>
      </c>
      <c r="S36" s="4">
        <v>100032</v>
      </c>
      <c r="T36" s="4">
        <v>186</v>
      </c>
      <c r="U36" s="4">
        <v>5000</v>
      </c>
      <c r="V36" s="4">
        <v>201608</v>
      </c>
      <c r="W36" s="4">
        <v>201600</v>
      </c>
      <c r="Y36" s="4">
        <v>27</v>
      </c>
      <c r="Z36" s="4">
        <v>2415</v>
      </c>
      <c r="AA36" s="4">
        <v>2803</v>
      </c>
      <c r="AB36" s="4">
        <v>560547</v>
      </c>
      <c r="AC36" s="4">
        <v>560576</v>
      </c>
      <c r="AD36" s="4">
        <v>100000</v>
      </c>
      <c r="AE36" s="4">
        <v>100032</v>
      </c>
      <c r="AF36" s="4">
        <v>370</v>
      </c>
      <c r="AG36" s="4">
        <v>5893</v>
      </c>
      <c r="AH36" s="4">
        <v>202501</v>
      </c>
      <c r="AI36" s="4">
        <v>202496</v>
      </c>
      <c r="AK36" s="4">
        <v>27</v>
      </c>
      <c r="AL36" s="4">
        <v>2445</v>
      </c>
      <c r="AM36" s="4">
        <v>2766</v>
      </c>
      <c r="AN36" s="4">
        <v>553203</v>
      </c>
      <c r="AO36" s="4">
        <v>553216</v>
      </c>
      <c r="AP36" s="4">
        <v>100000</v>
      </c>
      <c r="AQ36" s="4">
        <v>100032</v>
      </c>
      <c r="AR36" s="4">
        <v>530</v>
      </c>
      <c r="AS36" s="4">
        <v>6725</v>
      </c>
      <c r="AT36" s="4">
        <v>203333</v>
      </c>
      <c r="AU36" s="4">
        <v>203328</v>
      </c>
      <c r="AW36" s="4">
        <v>27</v>
      </c>
      <c r="AX36" s="4">
        <v>2459</v>
      </c>
      <c r="AY36" s="4">
        <v>2750</v>
      </c>
      <c r="AZ36" s="4">
        <v>550000</v>
      </c>
      <c r="BA36" s="4">
        <v>550016</v>
      </c>
      <c r="BB36" s="4">
        <v>100000</v>
      </c>
      <c r="BC36" s="4">
        <v>100032</v>
      </c>
      <c r="BD36" s="4">
        <v>2048</v>
      </c>
      <c r="BE36" s="4">
        <v>16011</v>
      </c>
      <c r="BF36" s="4">
        <v>212717</v>
      </c>
      <c r="BG36" s="4">
        <v>212736</v>
      </c>
      <c r="BI36" s="4">
        <v>27</v>
      </c>
      <c r="BJ36" s="4">
        <v>2468</v>
      </c>
      <c r="BK36" s="4">
        <v>2739</v>
      </c>
      <c r="BL36" s="4">
        <v>547813</v>
      </c>
      <c r="BM36" s="4">
        <v>547840</v>
      </c>
      <c r="BN36" s="4">
        <v>100000</v>
      </c>
      <c r="BO36" s="4">
        <v>100032</v>
      </c>
      <c r="BP36" s="4">
        <v>107</v>
      </c>
      <c r="BQ36" s="4">
        <v>4639</v>
      </c>
      <c r="BR36" s="4">
        <v>201247</v>
      </c>
      <c r="BS36" s="4">
        <v>201216</v>
      </c>
    </row>
    <row r="37" spans="1:71" x14ac:dyDescent="0.25">
      <c r="A37" s="4">
        <v>28</v>
      </c>
      <c r="B37" s="4">
        <v>2544</v>
      </c>
      <c r="C37" s="4">
        <v>2649</v>
      </c>
      <c r="D37" s="4">
        <v>529844</v>
      </c>
      <c r="E37" s="4">
        <v>529856</v>
      </c>
      <c r="F37" s="4">
        <v>100000</v>
      </c>
      <c r="G37" s="4">
        <v>100032</v>
      </c>
      <c r="H37" s="4">
        <v>215</v>
      </c>
      <c r="I37" s="4">
        <v>5132</v>
      </c>
      <c r="J37" s="4">
        <v>201740</v>
      </c>
      <c r="K37" s="4">
        <v>201728</v>
      </c>
      <c r="M37" s="4">
        <v>28</v>
      </c>
      <c r="N37" s="4">
        <v>2432</v>
      </c>
      <c r="O37" s="4">
        <v>2782</v>
      </c>
      <c r="P37" s="4">
        <v>556484</v>
      </c>
      <c r="Q37" s="4">
        <v>556480</v>
      </c>
      <c r="R37" s="4">
        <v>100000</v>
      </c>
      <c r="S37" s="4">
        <v>100032</v>
      </c>
      <c r="T37" s="4">
        <v>197</v>
      </c>
      <c r="U37" s="4">
        <v>5051</v>
      </c>
      <c r="V37" s="4">
        <v>201665</v>
      </c>
      <c r="W37" s="4">
        <v>201664</v>
      </c>
      <c r="Y37" s="4">
        <v>28</v>
      </c>
      <c r="Z37" s="4">
        <v>2413</v>
      </c>
      <c r="AA37" s="4">
        <v>2805</v>
      </c>
      <c r="AB37" s="4">
        <v>561016</v>
      </c>
      <c r="AC37" s="4">
        <v>561024</v>
      </c>
      <c r="AD37" s="4">
        <v>100000</v>
      </c>
      <c r="AE37" s="4">
        <v>100032</v>
      </c>
      <c r="AF37" s="4">
        <v>332</v>
      </c>
      <c r="AG37" s="4">
        <v>5704</v>
      </c>
      <c r="AH37" s="4">
        <v>202312</v>
      </c>
      <c r="AI37" s="4">
        <v>202304</v>
      </c>
      <c r="AK37" s="4">
        <v>28</v>
      </c>
      <c r="AL37" s="4">
        <v>2446</v>
      </c>
      <c r="AM37" s="4">
        <v>2765</v>
      </c>
      <c r="AN37" s="4">
        <v>552969</v>
      </c>
      <c r="AO37" s="4">
        <v>552960</v>
      </c>
      <c r="AP37" s="4">
        <v>100000</v>
      </c>
      <c r="AQ37" s="4">
        <v>100032</v>
      </c>
      <c r="AR37" s="4">
        <v>570</v>
      </c>
      <c r="AS37" s="4">
        <v>6935</v>
      </c>
      <c r="AT37" s="4">
        <v>203543</v>
      </c>
      <c r="AU37" s="4">
        <v>203520</v>
      </c>
      <c r="AW37" s="4">
        <v>28</v>
      </c>
      <c r="AX37" s="4">
        <v>2458</v>
      </c>
      <c r="AY37" s="4">
        <v>2751</v>
      </c>
      <c r="AZ37" s="4">
        <v>550234</v>
      </c>
      <c r="BA37" s="4">
        <v>550208</v>
      </c>
      <c r="BB37" s="4">
        <v>100000</v>
      </c>
      <c r="BC37" s="4">
        <v>100032</v>
      </c>
      <c r="BD37" s="4">
        <v>2048</v>
      </c>
      <c r="BE37" s="4">
        <v>16130</v>
      </c>
      <c r="BF37" s="4">
        <v>212738</v>
      </c>
      <c r="BG37" s="4">
        <v>212736</v>
      </c>
      <c r="BI37" s="4">
        <v>28</v>
      </c>
      <c r="BJ37" s="4">
        <v>2468</v>
      </c>
      <c r="BK37" s="4">
        <v>2739</v>
      </c>
      <c r="BL37" s="4">
        <v>547813</v>
      </c>
      <c r="BM37" s="4">
        <v>547840</v>
      </c>
      <c r="BN37" s="4">
        <v>100000</v>
      </c>
      <c r="BO37" s="4">
        <v>100032</v>
      </c>
      <c r="BP37" s="4">
        <v>76</v>
      </c>
      <c r="BQ37" s="4">
        <v>4502</v>
      </c>
      <c r="BR37" s="4">
        <v>201110</v>
      </c>
      <c r="BS37" s="4">
        <v>201088</v>
      </c>
    </row>
    <row r="38" spans="1:71" x14ac:dyDescent="0.25">
      <c r="M38" s="4">
        <v>29</v>
      </c>
      <c r="N38" s="4">
        <v>2432</v>
      </c>
      <c r="O38" s="4">
        <v>2782</v>
      </c>
      <c r="P38" s="4">
        <v>556484</v>
      </c>
      <c r="Q38" s="4">
        <v>556480</v>
      </c>
      <c r="R38" s="4">
        <v>100000</v>
      </c>
      <c r="S38" s="4">
        <v>100032</v>
      </c>
      <c r="T38" s="4">
        <v>198</v>
      </c>
      <c r="U38" s="4">
        <v>5053</v>
      </c>
      <c r="V38" s="4">
        <v>201661</v>
      </c>
      <c r="W38" s="4">
        <v>201664</v>
      </c>
      <c r="Y38" s="4">
        <v>29</v>
      </c>
      <c r="Z38" s="4">
        <v>2411</v>
      </c>
      <c r="AA38" s="4">
        <v>2808</v>
      </c>
      <c r="AB38" s="4">
        <v>561641</v>
      </c>
      <c r="AC38" s="4">
        <v>561664</v>
      </c>
      <c r="AD38" s="4">
        <v>100000</v>
      </c>
      <c r="AE38" s="4">
        <v>100032</v>
      </c>
      <c r="AF38" s="4">
        <v>308</v>
      </c>
      <c r="AG38" s="4">
        <v>5583</v>
      </c>
      <c r="AH38" s="4">
        <v>202278</v>
      </c>
      <c r="AI38" s="4">
        <v>202304</v>
      </c>
      <c r="AK38" s="4">
        <v>29</v>
      </c>
      <c r="AL38" s="4">
        <v>2445</v>
      </c>
      <c r="AM38" s="4">
        <v>2766</v>
      </c>
      <c r="AN38" s="4">
        <v>552969</v>
      </c>
      <c r="AO38" s="4">
        <v>552960</v>
      </c>
      <c r="AP38" s="4">
        <v>100000</v>
      </c>
      <c r="AQ38" s="4">
        <v>100032</v>
      </c>
      <c r="AR38" s="4">
        <v>592</v>
      </c>
      <c r="AS38" s="4">
        <v>7052</v>
      </c>
      <c r="AT38" s="4">
        <v>203660</v>
      </c>
      <c r="AU38" s="4">
        <v>203648</v>
      </c>
      <c r="AW38" s="4">
        <v>29</v>
      </c>
      <c r="AX38" s="4">
        <v>2457</v>
      </c>
      <c r="AY38" s="4">
        <v>2752</v>
      </c>
      <c r="AZ38" s="4">
        <v>550469</v>
      </c>
      <c r="BA38" s="4">
        <v>550464</v>
      </c>
      <c r="BB38" s="4">
        <v>100000</v>
      </c>
      <c r="BC38" s="4">
        <v>100032</v>
      </c>
      <c r="BD38" s="4">
        <v>2048</v>
      </c>
      <c r="BE38" s="4">
        <v>16203</v>
      </c>
      <c r="BF38" s="4">
        <v>212811</v>
      </c>
      <c r="BG38" s="4">
        <v>212800</v>
      </c>
      <c r="BI38" s="4">
        <v>29</v>
      </c>
      <c r="BJ38" s="4">
        <v>2467</v>
      </c>
      <c r="BK38" s="4">
        <v>2740</v>
      </c>
      <c r="BL38" s="4">
        <v>547969</v>
      </c>
      <c r="BM38" s="4">
        <v>547968</v>
      </c>
      <c r="BN38" s="4">
        <v>100000</v>
      </c>
      <c r="BO38" s="4">
        <v>100032</v>
      </c>
      <c r="BP38" s="4">
        <v>55</v>
      </c>
      <c r="BQ38" s="4">
        <v>4411</v>
      </c>
      <c r="BR38" s="4">
        <v>201019</v>
      </c>
      <c r="BS38" s="4">
        <v>201024</v>
      </c>
    </row>
    <row r="39" spans="1:71" x14ac:dyDescent="0.25">
      <c r="Y39" s="4">
        <v>30</v>
      </c>
      <c r="Z39" s="4">
        <v>2412</v>
      </c>
      <c r="AA39" s="4">
        <v>2807</v>
      </c>
      <c r="AB39" s="4">
        <v>561641</v>
      </c>
      <c r="AC39" s="4">
        <v>561664</v>
      </c>
      <c r="AD39" s="4">
        <v>100000</v>
      </c>
      <c r="AE39" s="4">
        <v>100032</v>
      </c>
      <c r="AF39" s="4">
        <v>300</v>
      </c>
      <c r="AG39" s="4">
        <v>5543</v>
      </c>
      <c r="AH39" s="4">
        <v>202151</v>
      </c>
      <c r="AI39" s="4">
        <v>202176</v>
      </c>
    </row>
    <row r="40" spans="1:71" x14ac:dyDescent="0.25">
      <c r="Y40" s="4">
        <v>31</v>
      </c>
      <c r="Z40" s="4">
        <v>2412</v>
      </c>
      <c r="AA40" s="4">
        <v>2806</v>
      </c>
      <c r="AB40" s="4">
        <v>561328</v>
      </c>
      <c r="AC40" s="4">
        <v>561344</v>
      </c>
      <c r="AD40" s="4">
        <v>100000</v>
      </c>
      <c r="AE40" s="4">
        <v>100032</v>
      </c>
      <c r="AF40" s="4">
        <v>354</v>
      </c>
      <c r="AG40" s="4">
        <v>5814</v>
      </c>
      <c r="AH40" s="4">
        <v>202422</v>
      </c>
      <c r="AI40" s="4">
        <v>202432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542"/>
  <sheetViews>
    <sheetView workbookViewId="0">
      <selection activeCell="AD6" sqref="AD6"/>
    </sheetView>
  </sheetViews>
  <sheetFormatPr defaultRowHeight="15" x14ac:dyDescent="0.25"/>
  <cols>
    <col min="2" max="2" width="9.7109375" bestFit="1" customWidth="1"/>
  </cols>
  <sheetData>
    <row r="1" spans="1:29" x14ac:dyDescent="0.25">
      <c r="A1" t="s">
        <v>0</v>
      </c>
    </row>
    <row r="3" spans="1:29" x14ac:dyDescent="0.25">
      <c r="A3" s="1" t="s">
        <v>761</v>
      </c>
      <c r="B3" s="1">
        <v>42837</v>
      </c>
    </row>
    <row r="4" spans="1:29" x14ac:dyDescent="0.25">
      <c r="A4" t="s">
        <v>762</v>
      </c>
      <c r="B4" s="3">
        <v>0.48958333333333331</v>
      </c>
    </row>
    <row r="5" spans="1:29" x14ac:dyDescent="0.25">
      <c r="A5" t="s">
        <v>763</v>
      </c>
      <c r="B5" s="3"/>
    </row>
    <row r="6" spans="1:29" x14ac:dyDescent="0.25">
      <c r="U6" t="s">
        <v>2053</v>
      </c>
      <c r="Y6" t="s">
        <v>2053</v>
      </c>
      <c r="AC6" t="s">
        <v>2276</v>
      </c>
    </row>
    <row r="7" spans="1:29" x14ac:dyDescent="0.25">
      <c r="A7" t="s">
        <v>1528</v>
      </c>
      <c r="U7" t="s">
        <v>2052</v>
      </c>
      <c r="Y7" t="s">
        <v>2165</v>
      </c>
      <c r="AC7" t="s">
        <v>2165</v>
      </c>
    </row>
    <row r="8" spans="1:29" x14ac:dyDescent="0.25">
      <c r="A8" t="s">
        <v>1</v>
      </c>
      <c r="E8" t="s">
        <v>299</v>
      </c>
      <c r="I8" t="s">
        <v>415</v>
      </c>
      <c r="M8" t="s">
        <v>533</v>
      </c>
      <c r="Q8" t="s">
        <v>1</v>
      </c>
      <c r="U8" t="s">
        <v>1</v>
      </c>
      <c r="Y8" t="s">
        <v>1</v>
      </c>
      <c r="AC8" t="s">
        <v>1</v>
      </c>
    </row>
    <row r="9" spans="1:29" x14ac:dyDescent="0.25">
      <c r="A9" t="s">
        <v>2</v>
      </c>
      <c r="E9" t="s">
        <v>933</v>
      </c>
      <c r="I9" t="s">
        <v>2</v>
      </c>
      <c r="M9" t="s">
        <v>2</v>
      </c>
      <c r="Q9" t="s">
        <v>2</v>
      </c>
      <c r="U9" t="s">
        <v>933</v>
      </c>
      <c r="Y9" t="s">
        <v>2</v>
      </c>
      <c r="AC9" t="s">
        <v>933</v>
      </c>
    </row>
    <row r="10" spans="1:29" x14ac:dyDescent="0.25">
      <c r="A10" t="s">
        <v>3</v>
      </c>
      <c r="E10" t="s">
        <v>934</v>
      </c>
      <c r="I10" t="s">
        <v>3</v>
      </c>
      <c r="M10" t="s">
        <v>3</v>
      </c>
      <c r="Q10" t="s">
        <v>3</v>
      </c>
      <c r="U10" t="s">
        <v>934</v>
      </c>
      <c r="Y10" t="s">
        <v>3</v>
      </c>
      <c r="AC10" t="s">
        <v>934</v>
      </c>
    </row>
    <row r="11" spans="1:29" x14ac:dyDescent="0.25">
      <c r="A11" t="s">
        <v>4</v>
      </c>
      <c r="E11" t="s">
        <v>935</v>
      </c>
      <c r="I11" t="s">
        <v>4</v>
      </c>
      <c r="M11" t="s">
        <v>4</v>
      </c>
      <c r="Q11" t="s">
        <v>4</v>
      </c>
      <c r="U11" t="s">
        <v>935</v>
      </c>
      <c r="Y11" t="s">
        <v>4</v>
      </c>
      <c r="AC11" t="s">
        <v>935</v>
      </c>
    </row>
    <row r="12" spans="1:29" x14ac:dyDescent="0.25">
      <c r="A12" t="s">
        <v>5</v>
      </c>
      <c r="E12" t="s">
        <v>936</v>
      </c>
      <c r="I12" t="s">
        <v>5</v>
      </c>
      <c r="M12" t="s">
        <v>5</v>
      </c>
      <c r="Q12" t="s">
        <v>5</v>
      </c>
      <c r="U12" t="s">
        <v>936</v>
      </c>
      <c r="Y12" t="s">
        <v>5</v>
      </c>
      <c r="AC12" t="s">
        <v>936</v>
      </c>
    </row>
    <row r="13" spans="1:29" x14ac:dyDescent="0.25">
      <c r="A13" t="s">
        <v>6</v>
      </c>
      <c r="E13" t="s">
        <v>181</v>
      </c>
      <c r="I13" t="s">
        <v>6</v>
      </c>
      <c r="M13" t="s">
        <v>6</v>
      </c>
      <c r="Q13" t="s">
        <v>6</v>
      </c>
      <c r="U13" t="s">
        <v>181</v>
      </c>
      <c r="Y13" t="s">
        <v>6</v>
      </c>
      <c r="AC13" t="s">
        <v>181</v>
      </c>
    </row>
    <row r="14" spans="1:29" x14ac:dyDescent="0.25">
      <c r="A14" t="s">
        <v>7</v>
      </c>
      <c r="E14" t="s">
        <v>182</v>
      </c>
      <c r="I14" t="s">
        <v>7</v>
      </c>
      <c r="M14" t="s">
        <v>7</v>
      </c>
      <c r="Q14" t="s">
        <v>7</v>
      </c>
      <c r="U14" t="s">
        <v>182</v>
      </c>
      <c r="Y14" t="s">
        <v>7</v>
      </c>
      <c r="AC14" t="s">
        <v>182</v>
      </c>
    </row>
    <row r="15" spans="1:29" x14ac:dyDescent="0.25">
      <c r="A15" t="s">
        <v>8</v>
      </c>
      <c r="E15" t="s">
        <v>14</v>
      </c>
      <c r="I15" t="s">
        <v>8</v>
      </c>
      <c r="M15" t="s">
        <v>8</v>
      </c>
      <c r="Q15" t="s">
        <v>8</v>
      </c>
      <c r="U15" t="s">
        <v>14</v>
      </c>
      <c r="Y15" t="s">
        <v>8</v>
      </c>
      <c r="AC15" t="s">
        <v>14</v>
      </c>
    </row>
    <row r="16" spans="1:29" x14ac:dyDescent="0.25">
      <c r="A16" t="s">
        <v>9</v>
      </c>
      <c r="E16" t="s">
        <v>15</v>
      </c>
      <c r="I16" t="s">
        <v>9</v>
      </c>
      <c r="M16" t="s">
        <v>9</v>
      </c>
      <c r="Q16" t="s">
        <v>9</v>
      </c>
      <c r="U16" t="s">
        <v>15</v>
      </c>
      <c r="Y16" t="s">
        <v>9</v>
      </c>
      <c r="AC16" t="s">
        <v>15</v>
      </c>
    </row>
    <row r="17" spans="1:29" x14ac:dyDescent="0.25">
      <c r="A17" t="s">
        <v>10</v>
      </c>
      <c r="E17" t="s">
        <v>12</v>
      </c>
      <c r="I17" t="s">
        <v>10</v>
      </c>
      <c r="M17" t="s">
        <v>10</v>
      </c>
      <c r="Q17" t="s">
        <v>10</v>
      </c>
      <c r="U17" t="s">
        <v>12</v>
      </c>
      <c r="Y17" t="s">
        <v>10</v>
      </c>
      <c r="AC17" t="s">
        <v>12</v>
      </c>
    </row>
    <row r="18" spans="1:29" x14ac:dyDescent="0.25">
      <c r="A18" t="s">
        <v>11</v>
      </c>
      <c r="E18" t="s">
        <v>13</v>
      </c>
      <c r="I18" t="s">
        <v>11</v>
      </c>
      <c r="M18" t="s">
        <v>11</v>
      </c>
      <c r="Q18" t="s">
        <v>11</v>
      </c>
      <c r="U18" t="s">
        <v>13</v>
      </c>
      <c r="Y18" t="s">
        <v>11</v>
      </c>
      <c r="AC18" t="s">
        <v>13</v>
      </c>
    </row>
    <row r="19" spans="1:29" x14ac:dyDescent="0.25">
      <c r="A19" t="s">
        <v>12</v>
      </c>
      <c r="E19" t="s">
        <v>10</v>
      </c>
      <c r="I19" t="s">
        <v>12</v>
      </c>
      <c r="M19" t="s">
        <v>12</v>
      </c>
      <c r="Q19" t="s">
        <v>12</v>
      </c>
      <c r="U19" t="s">
        <v>10</v>
      </c>
      <c r="Y19" t="s">
        <v>12</v>
      </c>
      <c r="AC19" t="s">
        <v>10</v>
      </c>
    </row>
    <row r="20" spans="1:29" x14ac:dyDescent="0.25">
      <c r="A20" t="s">
        <v>13</v>
      </c>
      <c r="E20" t="s">
        <v>11</v>
      </c>
      <c r="I20" t="s">
        <v>13</v>
      </c>
      <c r="M20" t="s">
        <v>13</v>
      </c>
      <c r="Q20" t="s">
        <v>13</v>
      </c>
      <c r="U20" t="s">
        <v>11</v>
      </c>
      <c r="Y20" t="s">
        <v>13</v>
      </c>
      <c r="AC20" t="s">
        <v>11</v>
      </c>
    </row>
    <row r="22" spans="1:29" x14ac:dyDescent="0.25">
      <c r="A22" t="s">
        <v>14</v>
      </c>
      <c r="E22" t="s">
        <v>8</v>
      </c>
      <c r="I22" t="s">
        <v>14</v>
      </c>
      <c r="M22" t="s">
        <v>14</v>
      </c>
      <c r="Q22" t="s">
        <v>14</v>
      </c>
      <c r="U22" t="s">
        <v>8</v>
      </c>
      <c r="Y22" t="s">
        <v>14</v>
      </c>
      <c r="AC22" t="s">
        <v>8</v>
      </c>
    </row>
    <row r="23" spans="1:29" x14ac:dyDescent="0.25">
      <c r="A23" t="s">
        <v>15</v>
      </c>
      <c r="E23" t="s">
        <v>9</v>
      </c>
      <c r="I23" t="s">
        <v>15</v>
      </c>
      <c r="M23" t="s">
        <v>15</v>
      </c>
      <c r="Q23" t="s">
        <v>15</v>
      </c>
      <c r="U23" t="s">
        <v>9</v>
      </c>
      <c r="Y23" t="s">
        <v>15</v>
      </c>
      <c r="AC23" t="s">
        <v>9</v>
      </c>
    </row>
    <row r="24" spans="1:29" x14ac:dyDescent="0.25">
      <c r="A24" t="s">
        <v>1529</v>
      </c>
      <c r="E24" t="s">
        <v>1636</v>
      </c>
      <c r="I24" t="s">
        <v>1745</v>
      </c>
      <c r="M24" t="s">
        <v>1848</v>
      </c>
      <c r="Q24" t="s">
        <v>1949</v>
      </c>
      <c r="U24" t="s">
        <v>2054</v>
      </c>
      <c r="Y24" t="s">
        <v>2166</v>
      </c>
      <c r="AC24" t="s">
        <v>2277</v>
      </c>
    </row>
    <row r="25" spans="1:29" x14ac:dyDescent="0.25">
      <c r="A25" t="s">
        <v>16</v>
      </c>
      <c r="E25" t="s">
        <v>28</v>
      </c>
      <c r="I25" t="s">
        <v>16</v>
      </c>
      <c r="M25" t="s">
        <v>16</v>
      </c>
      <c r="Q25" t="s">
        <v>16</v>
      </c>
      <c r="U25" t="s">
        <v>28</v>
      </c>
      <c r="Y25" t="s">
        <v>16</v>
      </c>
      <c r="AC25" t="s">
        <v>28</v>
      </c>
    </row>
    <row r="26" spans="1:29" x14ac:dyDescent="0.25">
      <c r="A26" t="s">
        <v>1530</v>
      </c>
      <c r="E26" t="s">
        <v>1637</v>
      </c>
      <c r="I26" t="s">
        <v>1746</v>
      </c>
      <c r="M26" t="s">
        <v>1849</v>
      </c>
      <c r="Q26" t="s">
        <v>1950</v>
      </c>
      <c r="U26" t="s">
        <v>2055</v>
      </c>
      <c r="Y26" t="s">
        <v>2167</v>
      </c>
      <c r="AC26" t="s">
        <v>2278</v>
      </c>
    </row>
    <row r="27" spans="1:29" x14ac:dyDescent="0.25">
      <c r="A27" t="s">
        <v>18</v>
      </c>
      <c r="E27" t="s">
        <v>30</v>
      </c>
      <c r="I27" t="s">
        <v>18</v>
      </c>
      <c r="M27" t="s">
        <v>18</v>
      </c>
      <c r="Q27" t="s">
        <v>18</v>
      </c>
      <c r="U27" t="s">
        <v>30</v>
      </c>
      <c r="Y27" t="s">
        <v>18</v>
      </c>
      <c r="AC27" t="s">
        <v>30</v>
      </c>
    </row>
    <row r="28" spans="1:29" x14ac:dyDescent="0.25">
      <c r="A28" t="s">
        <v>19</v>
      </c>
      <c r="E28" t="s">
        <v>31</v>
      </c>
      <c r="I28" t="s">
        <v>19</v>
      </c>
      <c r="M28" t="s">
        <v>19</v>
      </c>
      <c r="Q28" t="s">
        <v>19</v>
      </c>
      <c r="U28" t="s">
        <v>31</v>
      </c>
      <c r="Y28" t="s">
        <v>19</v>
      </c>
      <c r="AC28" t="s">
        <v>31</v>
      </c>
    </row>
    <row r="29" spans="1:29" x14ac:dyDescent="0.25">
      <c r="A29" t="s">
        <v>20</v>
      </c>
      <c r="E29" t="s">
        <v>32</v>
      </c>
      <c r="I29" t="s">
        <v>20</v>
      </c>
      <c r="M29" t="s">
        <v>20</v>
      </c>
      <c r="Q29" t="s">
        <v>20</v>
      </c>
      <c r="U29" t="s">
        <v>32</v>
      </c>
      <c r="Y29" t="s">
        <v>20</v>
      </c>
      <c r="AC29" t="s">
        <v>32</v>
      </c>
    </row>
    <row r="30" spans="1:29" x14ac:dyDescent="0.25">
      <c r="A30" t="s">
        <v>1531</v>
      </c>
      <c r="E30" t="s">
        <v>1638</v>
      </c>
      <c r="I30" t="s">
        <v>1747</v>
      </c>
      <c r="M30" t="s">
        <v>1850</v>
      </c>
      <c r="Q30" t="s">
        <v>1951</v>
      </c>
      <c r="U30" t="s">
        <v>2056</v>
      </c>
      <c r="Y30" t="s">
        <v>2168</v>
      </c>
      <c r="AC30" t="s">
        <v>2279</v>
      </c>
    </row>
    <row r="31" spans="1:29" x14ac:dyDescent="0.25">
      <c r="A31" t="s">
        <v>22</v>
      </c>
      <c r="E31" t="s">
        <v>34</v>
      </c>
      <c r="I31" t="s">
        <v>22</v>
      </c>
      <c r="M31" t="s">
        <v>22</v>
      </c>
      <c r="Q31" t="s">
        <v>22</v>
      </c>
      <c r="U31" t="s">
        <v>34</v>
      </c>
      <c r="Y31" t="s">
        <v>22</v>
      </c>
      <c r="AC31" t="s">
        <v>34</v>
      </c>
    </row>
    <row r="32" spans="1:29" x14ac:dyDescent="0.25">
      <c r="A32" t="s">
        <v>1532</v>
      </c>
      <c r="E32" t="s">
        <v>1639</v>
      </c>
      <c r="I32" t="s">
        <v>1748</v>
      </c>
      <c r="M32" t="s">
        <v>1851</v>
      </c>
      <c r="Q32" t="s">
        <v>1952</v>
      </c>
      <c r="U32" t="s">
        <v>2057</v>
      </c>
      <c r="Y32" t="s">
        <v>2169</v>
      </c>
      <c r="AC32" t="s">
        <v>2280</v>
      </c>
    </row>
    <row r="33" spans="1:29" x14ac:dyDescent="0.25">
      <c r="A33" t="s">
        <v>24</v>
      </c>
      <c r="E33" t="s">
        <v>36</v>
      </c>
      <c r="I33" t="s">
        <v>24</v>
      </c>
      <c r="M33" t="s">
        <v>24</v>
      </c>
      <c r="Q33" t="s">
        <v>24</v>
      </c>
      <c r="U33" t="s">
        <v>36</v>
      </c>
      <c r="Y33" t="s">
        <v>24</v>
      </c>
      <c r="AC33" t="s">
        <v>36</v>
      </c>
    </row>
    <row r="34" spans="1:29" x14ac:dyDescent="0.25">
      <c r="A34" t="s">
        <v>25</v>
      </c>
      <c r="E34" t="s">
        <v>37</v>
      </c>
      <c r="I34" t="s">
        <v>25</v>
      </c>
      <c r="M34" t="s">
        <v>25</v>
      </c>
      <c r="Q34" t="s">
        <v>25</v>
      </c>
      <c r="U34" t="s">
        <v>37</v>
      </c>
      <c r="Y34" t="s">
        <v>25</v>
      </c>
      <c r="AC34" t="s">
        <v>37</v>
      </c>
    </row>
    <row r="35" spans="1:29" x14ac:dyDescent="0.25">
      <c r="A35" t="s">
        <v>26</v>
      </c>
      <c r="E35" t="s">
        <v>38</v>
      </c>
      <c r="I35" t="s">
        <v>26</v>
      </c>
      <c r="M35" t="s">
        <v>26</v>
      </c>
      <c r="Q35" t="s">
        <v>26</v>
      </c>
      <c r="U35" t="s">
        <v>38</v>
      </c>
      <c r="Y35" t="s">
        <v>26</v>
      </c>
      <c r="AC35" t="s">
        <v>38</v>
      </c>
    </row>
    <row r="37" spans="1:29" x14ac:dyDescent="0.25">
      <c r="A37" t="s">
        <v>8</v>
      </c>
      <c r="E37" t="s">
        <v>14</v>
      </c>
      <c r="I37" t="s">
        <v>8</v>
      </c>
      <c r="M37" t="s">
        <v>8</v>
      </c>
      <c r="Q37" t="s">
        <v>8</v>
      </c>
      <c r="U37" t="s">
        <v>14</v>
      </c>
      <c r="Y37" t="s">
        <v>8</v>
      </c>
      <c r="AC37" t="s">
        <v>14</v>
      </c>
    </row>
    <row r="38" spans="1:29" x14ac:dyDescent="0.25">
      <c r="A38" t="s">
        <v>9</v>
      </c>
      <c r="E38" t="s">
        <v>15</v>
      </c>
      <c r="I38" t="s">
        <v>9</v>
      </c>
      <c r="M38" t="s">
        <v>9</v>
      </c>
      <c r="Q38" t="s">
        <v>9</v>
      </c>
      <c r="U38" t="s">
        <v>15</v>
      </c>
      <c r="Y38" t="s">
        <v>9</v>
      </c>
      <c r="AC38" t="s">
        <v>15</v>
      </c>
    </row>
    <row r="39" spans="1:29" x14ac:dyDescent="0.25">
      <c r="A39" t="s">
        <v>1533</v>
      </c>
      <c r="E39" t="s">
        <v>1640</v>
      </c>
      <c r="I39" t="s">
        <v>1749</v>
      </c>
      <c r="M39" t="s">
        <v>1852</v>
      </c>
      <c r="Q39" t="s">
        <v>1953</v>
      </c>
      <c r="U39" t="s">
        <v>2058</v>
      </c>
      <c r="Y39" t="s">
        <v>2170</v>
      </c>
      <c r="AC39" t="s">
        <v>2281</v>
      </c>
    </row>
    <row r="40" spans="1:29" x14ac:dyDescent="0.25">
      <c r="A40" t="s">
        <v>28</v>
      </c>
      <c r="E40" t="s">
        <v>16</v>
      </c>
      <c r="I40" t="s">
        <v>28</v>
      </c>
      <c r="M40" t="s">
        <v>28</v>
      </c>
      <c r="Q40" t="s">
        <v>28</v>
      </c>
      <c r="U40" t="s">
        <v>16</v>
      </c>
      <c r="Y40" t="s">
        <v>28</v>
      </c>
      <c r="AC40" t="s">
        <v>16</v>
      </c>
    </row>
    <row r="41" spans="1:29" x14ac:dyDescent="0.25">
      <c r="A41" t="s">
        <v>1534</v>
      </c>
      <c r="E41" t="s">
        <v>1193</v>
      </c>
      <c r="I41" t="s">
        <v>1076</v>
      </c>
      <c r="M41" t="s">
        <v>1853</v>
      </c>
      <c r="Q41" t="s">
        <v>1954</v>
      </c>
      <c r="U41" t="s">
        <v>2059</v>
      </c>
      <c r="Y41" t="s">
        <v>2171</v>
      </c>
      <c r="AC41" t="s">
        <v>2282</v>
      </c>
    </row>
    <row r="42" spans="1:29" x14ac:dyDescent="0.25">
      <c r="A42" t="s">
        <v>30</v>
      </c>
      <c r="E42" t="s">
        <v>18</v>
      </c>
      <c r="I42" t="s">
        <v>30</v>
      </c>
      <c r="M42" t="s">
        <v>30</v>
      </c>
      <c r="Q42" t="s">
        <v>30</v>
      </c>
      <c r="U42" t="s">
        <v>18</v>
      </c>
      <c r="Y42" t="s">
        <v>30</v>
      </c>
      <c r="AC42" t="s">
        <v>18</v>
      </c>
    </row>
    <row r="43" spans="1:29" x14ac:dyDescent="0.25">
      <c r="A43" t="s">
        <v>31</v>
      </c>
      <c r="E43" t="s">
        <v>19</v>
      </c>
      <c r="I43" t="s">
        <v>31</v>
      </c>
      <c r="M43" t="s">
        <v>31</v>
      </c>
      <c r="Q43" t="s">
        <v>31</v>
      </c>
      <c r="U43" t="s">
        <v>19</v>
      </c>
      <c r="Y43" t="s">
        <v>31</v>
      </c>
      <c r="AC43" t="s">
        <v>19</v>
      </c>
    </row>
    <row r="44" spans="1:29" x14ac:dyDescent="0.25">
      <c r="A44" t="s">
        <v>32</v>
      </c>
      <c r="E44" t="s">
        <v>20</v>
      </c>
      <c r="I44" t="s">
        <v>32</v>
      </c>
      <c r="M44" t="s">
        <v>32</v>
      </c>
      <c r="Q44" t="s">
        <v>32</v>
      </c>
      <c r="U44" t="s">
        <v>20</v>
      </c>
      <c r="Y44" t="s">
        <v>32</v>
      </c>
      <c r="AC44" t="s">
        <v>20</v>
      </c>
    </row>
    <row r="45" spans="1:29" x14ac:dyDescent="0.25">
      <c r="A45" t="s">
        <v>1535</v>
      </c>
      <c r="E45" t="s">
        <v>1641</v>
      </c>
      <c r="I45" t="s">
        <v>1750</v>
      </c>
      <c r="M45" t="s">
        <v>1854</v>
      </c>
      <c r="Q45" t="s">
        <v>1955</v>
      </c>
      <c r="U45" t="s">
        <v>2060</v>
      </c>
      <c r="Y45" t="s">
        <v>2172</v>
      </c>
      <c r="AC45" t="s">
        <v>2283</v>
      </c>
    </row>
    <row r="46" spans="1:29" x14ac:dyDescent="0.25">
      <c r="A46" t="s">
        <v>34</v>
      </c>
      <c r="E46" t="s">
        <v>22</v>
      </c>
      <c r="I46" t="s">
        <v>34</v>
      </c>
      <c r="M46" t="s">
        <v>34</v>
      </c>
      <c r="Q46" t="s">
        <v>34</v>
      </c>
      <c r="U46" t="s">
        <v>22</v>
      </c>
      <c r="Y46" t="s">
        <v>34</v>
      </c>
      <c r="AC46" t="s">
        <v>22</v>
      </c>
    </row>
    <row r="47" spans="1:29" x14ac:dyDescent="0.25">
      <c r="A47" t="s">
        <v>1536</v>
      </c>
      <c r="E47" t="s">
        <v>1642</v>
      </c>
      <c r="I47" t="s">
        <v>1751</v>
      </c>
      <c r="M47" t="s">
        <v>1855</v>
      </c>
      <c r="Q47" t="s">
        <v>353</v>
      </c>
      <c r="U47" t="s">
        <v>2061</v>
      </c>
      <c r="Y47" t="s">
        <v>2173</v>
      </c>
      <c r="AC47" t="s">
        <v>2284</v>
      </c>
    </row>
    <row r="48" spans="1:29" x14ac:dyDescent="0.25">
      <c r="A48" t="s">
        <v>36</v>
      </c>
      <c r="E48" t="s">
        <v>24</v>
      </c>
      <c r="I48" t="s">
        <v>36</v>
      </c>
      <c r="M48" t="s">
        <v>36</v>
      </c>
      <c r="Q48" t="s">
        <v>36</v>
      </c>
      <c r="U48" t="s">
        <v>24</v>
      </c>
      <c r="Y48" t="s">
        <v>36</v>
      </c>
      <c r="AC48" t="s">
        <v>24</v>
      </c>
    </row>
    <row r="49" spans="1:29" x14ac:dyDescent="0.25">
      <c r="A49" t="s">
        <v>37</v>
      </c>
      <c r="E49" t="s">
        <v>25</v>
      </c>
      <c r="I49" t="s">
        <v>37</v>
      </c>
      <c r="M49" t="s">
        <v>37</v>
      </c>
      <c r="Q49" t="s">
        <v>37</v>
      </c>
      <c r="U49" t="s">
        <v>25</v>
      </c>
      <c r="Y49" t="s">
        <v>37</v>
      </c>
      <c r="AC49" t="s">
        <v>25</v>
      </c>
    </row>
    <row r="50" spans="1:29" x14ac:dyDescent="0.25">
      <c r="A50" t="s">
        <v>38</v>
      </c>
      <c r="E50" t="s">
        <v>26</v>
      </c>
      <c r="I50" t="s">
        <v>38</v>
      </c>
      <c r="M50" t="s">
        <v>38</v>
      </c>
      <c r="Q50" t="s">
        <v>38</v>
      </c>
      <c r="U50" t="s">
        <v>26</v>
      </c>
      <c r="Y50" t="s">
        <v>38</v>
      </c>
      <c r="AC50" t="s">
        <v>26</v>
      </c>
    </row>
    <row r="52" spans="1:29" x14ac:dyDescent="0.25">
      <c r="A52" t="s">
        <v>14</v>
      </c>
      <c r="E52" t="s">
        <v>8</v>
      </c>
      <c r="I52" t="s">
        <v>14</v>
      </c>
      <c r="M52" t="s">
        <v>14</v>
      </c>
      <c r="Q52" t="s">
        <v>14</v>
      </c>
      <c r="U52" t="s">
        <v>8</v>
      </c>
      <c r="Y52" t="s">
        <v>14</v>
      </c>
      <c r="AC52" t="s">
        <v>8</v>
      </c>
    </row>
    <row r="53" spans="1:29" x14ac:dyDescent="0.25">
      <c r="A53" t="s">
        <v>15</v>
      </c>
      <c r="E53" t="s">
        <v>9</v>
      </c>
      <c r="I53" t="s">
        <v>15</v>
      </c>
      <c r="M53" t="s">
        <v>15</v>
      </c>
      <c r="Q53" t="s">
        <v>15</v>
      </c>
      <c r="U53" t="s">
        <v>9</v>
      </c>
      <c r="Y53" t="s">
        <v>15</v>
      </c>
      <c r="AC53" t="s">
        <v>9</v>
      </c>
    </row>
    <row r="54" spans="1:29" x14ac:dyDescent="0.25">
      <c r="A54" t="s">
        <v>1537</v>
      </c>
      <c r="E54" t="s">
        <v>1643</v>
      </c>
      <c r="I54" t="s">
        <v>1752</v>
      </c>
      <c r="M54" t="s">
        <v>1856</v>
      </c>
      <c r="Q54" t="s">
        <v>1956</v>
      </c>
      <c r="U54" t="s">
        <v>2062</v>
      </c>
      <c r="Y54" t="s">
        <v>2174</v>
      </c>
      <c r="AC54" t="s">
        <v>2285</v>
      </c>
    </row>
    <row r="55" spans="1:29" x14ac:dyDescent="0.25">
      <c r="A55" t="s">
        <v>16</v>
      </c>
      <c r="E55" t="s">
        <v>28</v>
      </c>
      <c r="I55" t="s">
        <v>16</v>
      </c>
      <c r="M55" t="s">
        <v>16</v>
      </c>
      <c r="Q55" t="s">
        <v>16</v>
      </c>
      <c r="U55" t="s">
        <v>28</v>
      </c>
      <c r="Y55" t="s">
        <v>16</v>
      </c>
      <c r="AC55" t="s">
        <v>28</v>
      </c>
    </row>
    <row r="56" spans="1:29" x14ac:dyDescent="0.25">
      <c r="A56" t="s">
        <v>1538</v>
      </c>
      <c r="E56" t="s">
        <v>1150</v>
      </c>
      <c r="I56" t="s">
        <v>449</v>
      </c>
      <c r="M56" t="s">
        <v>449</v>
      </c>
      <c r="Q56" t="s">
        <v>1957</v>
      </c>
      <c r="U56" t="s">
        <v>2063</v>
      </c>
      <c r="Y56" t="s">
        <v>2175</v>
      </c>
      <c r="AC56" t="s">
        <v>2286</v>
      </c>
    </row>
    <row r="57" spans="1:29" x14ac:dyDescent="0.25">
      <c r="A57" t="s">
        <v>18</v>
      </c>
      <c r="E57" t="s">
        <v>30</v>
      </c>
      <c r="I57" t="s">
        <v>18</v>
      </c>
      <c r="M57" t="s">
        <v>18</v>
      </c>
      <c r="Q57" t="s">
        <v>18</v>
      </c>
      <c r="U57" t="s">
        <v>30</v>
      </c>
      <c r="Y57" t="s">
        <v>18</v>
      </c>
      <c r="AC57" t="s">
        <v>30</v>
      </c>
    </row>
    <row r="58" spans="1:29" x14ac:dyDescent="0.25">
      <c r="A58" t="s">
        <v>19</v>
      </c>
      <c r="E58" t="s">
        <v>31</v>
      </c>
      <c r="I58" t="s">
        <v>19</v>
      </c>
      <c r="M58" t="s">
        <v>19</v>
      </c>
      <c r="Q58" t="s">
        <v>19</v>
      </c>
      <c r="U58" t="s">
        <v>31</v>
      </c>
      <c r="Y58" t="s">
        <v>19</v>
      </c>
      <c r="AC58" t="s">
        <v>31</v>
      </c>
    </row>
    <row r="59" spans="1:29" x14ac:dyDescent="0.25">
      <c r="A59" t="s">
        <v>20</v>
      </c>
      <c r="E59" t="s">
        <v>32</v>
      </c>
      <c r="I59" t="s">
        <v>20</v>
      </c>
      <c r="M59" t="s">
        <v>20</v>
      </c>
      <c r="Q59" t="s">
        <v>20</v>
      </c>
      <c r="U59" t="s">
        <v>32</v>
      </c>
      <c r="Y59" t="s">
        <v>20</v>
      </c>
      <c r="AC59" t="s">
        <v>32</v>
      </c>
    </row>
    <row r="60" spans="1:29" x14ac:dyDescent="0.25">
      <c r="A60" t="s">
        <v>1539</v>
      </c>
      <c r="E60" t="s">
        <v>1644</v>
      </c>
      <c r="I60" t="s">
        <v>1753</v>
      </c>
      <c r="M60" t="s">
        <v>1857</v>
      </c>
      <c r="Q60" t="s">
        <v>1958</v>
      </c>
      <c r="U60" t="s">
        <v>2064</v>
      </c>
      <c r="Y60" t="s">
        <v>2176</v>
      </c>
      <c r="AC60" t="s">
        <v>2287</v>
      </c>
    </row>
    <row r="61" spans="1:29" x14ac:dyDescent="0.25">
      <c r="A61" t="s">
        <v>22</v>
      </c>
      <c r="E61" t="s">
        <v>34</v>
      </c>
      <c r="I61" t="s">
        <v>22</v>
      </c>
      <c r="M61" t="s">
        <v>22</v>
      </c>
      <c r="Q61" t="s">
        <v>22</v>
      </c>
      <c r="U61" t="s">
        <v>34</v>
      </c>
      <c r="Y61" t="s">
        <v>22</v>
      </c>
      <c r="AC61" t="s">
        <v>34</v>
      </c>
    </row>
    <row r="62" spans="1:29" x14ac:dyDescent="0.25">
      <c r="A62" t="s">
        <v>1540</v>
      </c>
      <c r="E62" t="s">
        <v>1645</v>
      </c>
      <c r="I62" t="s">
        <v>1754</v>
      </c>
      <c r="M62" t="s">
        <v>1858</v>
      </c>
      <c r="Q62" t="s">
        <v>1959</v>
      </c>
      <c r="U62" t="s">
        <v>2065</v>
      </c>
      <c r="Y62" t="s">
        <v>402</v>
      </c>
      <c r="AC62" t="s">
        <v>2288</v>
      </c>
    </row>
    <row r="63" spans="1:29" x14ac:dyDescent="0.25">
      <c r="A63" t="s">
        <v>24</v>
      </c>
      <c r="E63" t="s">
        <v>36</v>
      </c>
      <c r="I63" t="s">
        <v>24</v>
      </c>
      <c r="M63" t="s">
        <v>24</v>
      </c>
      <c r="Q63" t="s">
        <v>24</v>
      </c>
      <c r="U63" t="s">
        <v>36</v>
      </c>
      <c r="Y63" t="s">
        <v>24</v>
      </c>
      <c r="AC63" t="s">
        <v>36</v>
      </c>
    </row>
    <row r="64" spans="1:29" x14ac:dyDescent="0.25">
      <c r="A64" t="s">
        <v>25</v>
      </c>
      <c r="E64" t="s">
        <v>37</v>
      </c>
      <c r="I64" t="s">
        <v>25</v>
      </c>
      <c r="M64" t="s">
        <v>25</v>
      </c>
      <c r="Q64" t="s">
        <v>25</v>
      </c>
      <c r="U64" t="s">
        <v>37</v>
      </c>
      <c r="Y64" t="s">
        <v>25</v>
      </c>
      <c r="AC64" t="s">
        <v>37</v>
      </c>
    </row>
    <row r="65" spans="1:29" x14ac:dyDescent="0.25">
      <c r="A65" t="s">
        <v>26</v>
      </c>
      <c r="E65" t="s">
        <v>38</v>
      </c>
      <c r="I65" t="s">
        <v>26</v>
      </c>
      <c r="M65" t="s">
        <v>26</v>
      </c>
      <c r="Q65" t="s">
        <v>26</v>
      </c>
      <c r="U65" t="s">
        <v>38</v>
      </c>
      <c r="Y65" t="s">
        <v>26</v>
      </c>
      <c r="AC65" t="s">
        <v>38</v>
      </c>
    </row>
    <row r="67" spans="1:29" x14ac:dyDescent="0.25">
      <c r="A67" t="s">
        <v>8</v>
      </c>
      <c r="E67" t="s">
        <v>14</v>
      </c>
      <c r="I67" t="s">
        <v>8</v>
      </c>
      <c r="M67" t="s">
        <v>8</v>
      </c>
      <c r="Q67" t="s">
        <v>8</v>
      </c>
      <c r="U67" t="s">
        <v>14</v>
      </c>
      <c r="Y67" t="s">
        <v>8</v>
      </c>
      <c r="AC67" t="s">
        <v>14</v>
      </c>
    </row>
    <row r="68" spans="1:29" x14ac:dyDescent="0.25">
      <c r="A68" t="s">
        <v>9</v>
      </c>
      <c r="E68" t="s">
        <v>15</v>
      </c>
      <c r="I68" t="s">
        <v>9</v>
      </c>
      <c r="M68" t="s">
        <v>9</v>
      </c>
      <c r="Q68" t="s">
        <v>9</v>
      </c>
      <c r="U68" t="s">
        <v>15</v>
      </c>
      <c r="Y68" t="s">
        <v>9</v>
      </c>
      <c r="AC68" t="s">
        <v>15</v>
      </c>
    </row>
    <row r="69" spans="1:29" x14ac:dyDescent="0.25">
      <c r="A69" t="s">
        <v>1541</v>
      </c>
      <c r="E69" t="s">
        <v>1646</v>
      </c>
      <c r="I69" t="s">
        <v>1755</v>
      </c>
      <c r="M69" t="s">
        <v>1859</v>
      </c>
      <c r="Q69" t="s">
        <v>1960</v>
      </c>
      <c r="U69" t="s">
        <v>2066</v>
      </c>
      <c r="Y69" t="s">
        <v>2177</v>
      </c>
      <c r="AC69" t="s">
        <v>2289</v>
      </c>
    </row>
    <row r="70" spans="1:29" x14ac:dyDescent="0.25">
      <c r="A70" t="s">
        <v>28</v>
      </c>
      <c r="E70" t="s">
        <v>16</v>
      </c>
      <c r="I70" t="s">
        <v>28</v>
      </c>
      <c r="M70" t="s">
        <v>28</v>
      </c>
      <c r="Q70" t="s">
        <v>28</v>
      </c>
      <c r="U70" t="s">
        <v>16</v>
      </c>
      <c r="Y70" t="s">
        <v>28</v>
      </c>
      <c r="AC70" t="s">
        <v>16</v>
      </c>
    </row>
    <row r="71" spans="1:29" x14ac:dyDescent="0.25">
      <c r="A71" t="s">
        <v>1542</v>
      </c>
      <c r="E71" t="s">
        <v>1139</v>
      </c>
      <c r="I71" t="s">
        <v>1590</v>
      </c>
      <c r="M71" t="s">
        <v>1674</v>
      </c>
      <c r="Q71" t="s">
        <v>1954</v>
      </c>
      <c r="U71" t="s">
        <v>2067</v>
      </c>
      <c r="Y71" t="s">
        <v>2178</v>
      </c>
      <c r="AC71" t="s">
        <v>2290</v>
      </c>
    </row>
    <row r="72" spans="1:29" x14ac:dyDescent="0.25">
      <c r="A72" t="s">
        <v>30</v>
      </c>
      <c r="E72" t="s">
        <v>18</v>
      </c>
      <c r="I72" t="s">
        <v>30</v>
      </c>
      <c r="M72" t="s">
        <v>30</v>
      </c>
      <c r="Q72" t="s">
        <v>30</v>
      </c>
      <c r="U72" t="s">
        <v>18</v>
      </c>
      <c r="Y72" t="s">
        <v>30</v>
      </c>
      <c r="AC72" t="s">
        <v>18</v>
      </c>
    </row>
    <row r="73" spans="1:29" x14ac:dyDescent="0.25">
      <c r="A73" t="s">
        <v>31</v>
      </c>
      <c r="E73" t="s">
        <v>19</v>
      </c>
      <c r="I73" t="s">
        <v>31</v>
      </c>
      <c r="M73" t="s">
        <v>31</v>
      </c>
      <c r="Q73" t="s">
        <v>31</v>
      </c>
      <c r="U73" t="s">
        <v>19</v>
      </c>
      <c r="Y73" t="s">
        <v>31</v>
      </c>
      <c r="AC73" t="s">
        <v>19</v>
      </c>
    </row>
    <row r="74" spans="1:29" x14ac:dyDescent="0.25">
      <c r="A74" t="s">
        <v>32</v>
      </c>
      <c r="E74" t="s">
        <v>20</v>
      </c>
      <c r="I74" t="s">
        <v>32</v>
      </c>
      <c r="M74" t="s">
        <v>32</v>
      </c>
      <c r="Q74" t="s">
        <v>32</v>
      </c>
      <c r="U74" t="s">
        <v>20</v>
      </c>
      <c r="Y74" t="s">
        <v>32</v>
      </c>
      <c r="AC74" t="s">
        <v>20</v>
      </c>
    </row>
    <row r="75" spans="1:29" x14ac:dyDescent="0.25">
      <c r="A75" t="s">
        <v>1543</v>
      </c>
      <c r="E75" t="s">
        <v>1647</v>
      </c>
      <c r="I75" t="s">
        <v>1756</v>
      </c>
      <c r="M75" t="s">
        <v>1860</v>
      </c>
      <c r="Q75" t="s">
        <v>1961</v>
      </c>
      <c r="U75" t="s">
        <v>2068</v>
      </c>
      <c r="Y75" t="s">
        <v>2179</v>
      </c>
      <c r="AC75" t="s">
        <v>326</v>
      </c>
    </row>
    <row r="76" spans="1:29" x14ac:dyDescent="0.25">
      <c r="A76" t="s">
        <v>34</v>
      </c>
      <c r="E76" t="s">
        <v>22</v>
      </c>
      <c r="I76" t="s">
        <v>34</v>
      </c>
      <c r="M76" t="s">
        <v>34</v>
      </c>
      <c r="Q76" t="s">
        <v>34</v>
      </c>
      <c r="U76" t="s">
        <v>22</v>
      </c>
      <c r="Y76" t="s">
        <v>34</v>
      </c>
      <c r="AC76" t="s">
        <v>22</v>
      </c>
    </row>
    <row r="77" spans="1:29" x14ac:dyDescent="0.25">
      <c r="A77" t="s">
        <v>1544</v>
      </c>
      <c r="E77" t="s">
        <v>1648</v>
      </c>
      <c r="I77" t="s">
        <v>1757</v>
      </c>
      <c r="M77" t="s">
        <v>1399</v>
      </c>
      <c r="Q77" t="s">
        <v>1962</v>
      </c>
      <c r="U77" t="s">
        <v>2069</v>
      </c>
      <c r="Y77" t="s">
        <v>2180</v>
      </c>
      <c r="AC77" t="s">
        <v>2084</v>
      </c>
    </row>
    <row r="78" spans="1:29" x14ac:dyDescent="0.25">
      <c r="A78" t="s">
        <v>36</v>
      </c>
      <c r="E78" t="s">
        <v>24</v>
      </c>
      <c r="I78" t="s">
        <v>36</v>
      </c>
      <c r="M78" t="s">
        <v>36</v>
      </c>
      <c r="Q78" t="s">
        <v>36</v>
      </c>
      <c r="U78" t="s">
        <v>24</v>
      </c>
      <c r="Y78" t="s">
        <v>36</v>
      </c>
      <c r="AC78" t="s">
        <v>24</v>
      </c>
    </row>
    <row r="79" spans="1:29" x14ac:dyDescent="0.25">
      <c r="A79" t="s">
        <v>37</v>
      </c>
      <c r="E79" t="s">
        <v>25</v>
      </c>
      <c r="I79" t="s">
        <v>37</v>
      </c>
      <c r="M79" t="s">
        <v>37</v>
      </c>
      <c r="Q79" t="s">
        <v>37</v>
      </c>
      <c r="U79" t="s">
        <v>25</v>
      </c>
      <c r="Y79" t="s">
        <v>37</v>
      </c>
      <c r="AC79" t="s">
        <v>25</v>
      </c>
    </row>
    <row r="80" spans="1:29" x14ac:dyDescent="0.25">
      <c r="A80" t="s">
        <v>38</v>
      </c>
      <c r="E80" t="s">
        <v>26</v>
      </c>
      <c r="I80" t="s">
        <v>38</v>
      </c>
      <c r="M80" t="s">
        <v>38</v>
      </c>
      <c r="Q80" t="s">
        <v>38</v>
      </c>
      <c r="U80" t="s">
        <v>26</v>
      </c>
      <c r="Y80" t="s">
        <v>38</v>
      </c>
      <c r="AC80" t="s">
        <v>26</v>
      </c>
    </row>
    <row r="82" spans="1:29" x14ac:dyDescent="0.25">
      <c r="A82" t="s">
        <v>14</v>
      </c>
      <c r="E82" t="s">
        <v>8</v>
      </c>
      <c r="I82" t="s">
        <v>14</v>
      </c>
      <c r="M82" t="s">
        <v>14</v>
      </c>
      <c r="Q82" t="s">
        <v>14</v>
      </c>
      <c r="U82" t="s">
        <v>8</v>
      </c>
      <c r="Y82" t="s">
        <v>14</v>
      </c>
      <c r="AC82" t="s">
        <v>8</v>
      </c>
    </row>
    <row r="83" spans="1:29" x14ac:dyDescent="0.25">
      <c r="A83" t="s">
        <v>15</v>
      </c>
      <c r="E83" t="s">
        <v>9</v>
      </c>
      <c r="I83" t="s">
        <v>15</v>
      </c>
      <c r="M83" t="s">
        <v>15</v>
      </c>
      <c r="Q83" t="s">
        <v>15</v>
      </c>
      <c r="U83" t="s">
        <v>9</v>
      </c>
      <c r="Y83" t="s">
        <v>15</v>
      </c>
      <c r="AC83" t="s">
        <v>9</v>
      </c>
    </row>
    <row r="84" spans="1:29" x14ac:dyDescent="0.25">
      <c r="A84" t="s">
        <v>1545</v>
      </c>
      <c r="E84" t="s">
        <v>1649</v>
      </c>
      <c r="I84" t="s">
        <v>1758</v>
      </c>
      <c r="M84" t="s">
        <v>1861</v>
      </c>
      <c r="Q84" t="s">
        <v>1963</v>
      </c>
      <c r="U84" t="s">
        <v>2070</v>
      </c>
      <c r="Y84" t="s">
        <v>2181</v>
      </c>
      <c r="AC84" t="s">
        <v>2291</v>
      </c>
    </row>
    <row r="85" spans="1:29" x14ac:dyDescent="0.25">
      <c r="A85" t="s">
        <v>16</v>
      </c>
      <c r="E85" t="s">
        <v>28</v>
      </c>
      <c r="I85" t="s">
        <v>16</v>
      </c>
      <c r="M85" t="s">
        <v>16</v>
      </c>
      <c r="Q85" t="s">
        <v>16</v>
      </c>
      <c r="U85" t="s">
        <v>28</v>
      </c>
      <c r="Y85" t="s">
        <v>16</v>
      </c>
      <c r="AC85" t="s">
        <v>28</v>
      </c>
    </row>
    <row r="86" spans="1:29" x14ac:dyDescent="0.25">
      <c r="A86" t="s">
        <v>1546</v>
      </c>
      <c r="E86" t="s">
        <v>1650</v>
      </c>
      <c r="I86" t="s">
        <v>1578</v>
      </c>
      <c r="M86" t="s">
        <v>1862</v>
      </c>
      <c r="Q86" t="s">
        <v>1964</v>
      </c>
      <c r="U86" t="s">
        <v>2071</v>
      </c>
      <c r="Y86" t="s">
        <v>2182</v>
      </c>
      <c r="AC86" t="s">
        <v>2292</v>
      </c>
    </row>
    <row r="87" spans="1:29" x14ac:dyDescent="0.25">
      <c r="A87" t="s">
        <v>18</v>
      </c>
      <c r="E87" t="s">
        <v>30</v>
      </c>
      <c r="I87" t="s">
        <v>18</v>
      </c>
      <c r="M87" t="s">
        <v>18</v>
      </c>
      <c r="Q87" t="s">
        <v>18</v>
      </c>
      <c r="U87" t="s">
        <v>30</v>
      </c>
      <c r="Y87" t="s">
        <v>18</v>
      </c>
      <c r="AC87" t="s">
        <v>30</v>
      </c>
    </row>
    <row r="88" spans="1:29" x14ac:dyDescent="0.25">
      <c r="A88" t="s">
        <v>19</v>
      </c>
      <c r="E88" t="s">
        <v>31</v>
      </c>
      <c r="I88" t="s">
        <v>19</v>
      </c>
      <c r="M88" t="s">
        <v>19</v>
      </c>
      <c r="Q88" t="s">
        <v>19</v>
      </c>
      <c r="U88" t="s">
        <v>31</v>
      </c>
      <c r="Y88" t="s">
        <v>19</v>
      </c>
      <c r="AC88" t="s">
        <v>31</v>
      </c>
    </row>
    <row r="89" spans="1:29" x14ac:dyDescent="0.25">
      <c r="A89" t="s">
        <v>20</v>
      </c>
      <c r="E89" t="s">
        <v>32</v>
      </c>
      <c r="I89" t="s">
        <v>20</v>
      </c>
      <c r="M89" t="s">
        <v>20</v>
      </c>
      <c r="Q89" t="s">
        <v>20</v>
      </c>
      <c r="U89" t="s">
        <v>32</v>
      </c>
      <c r="Y89" t="s">
        <v>20</v>
      </c>
      <c r="AC89" t="s">
        <v>32</v>
      </c>
    </row>
    <row r="90" spans="1:29" x14ac:dyDescent="0.25">
      <c r="A90" t="s">
        <v>1547</v>
      </c>
      <c r="E90" t="s">
        <v>1651</v>
      </c>
      <c r="I90" t="s">
        <v>1759</v>
      </c>
      <c r="M90" t="s">
        <v>1863</v>
      </c>
      <c r="Q90" t="s">
        <v>1965</v>
      </c>
      <c r="U90" t="s">
        <v>2072</v>
      </c>
      <c r="Y90" t="s">
        <v>2183</v>
      </c>
      <c r="AC90" t="s">
        <v>2231</v>
      </c>
    </row>
    <row r="91" spans="1:29" x14ac:dyDescent="0.25">
      <c r="A91" t="s">
        <v>22</v>
      </c>
      <c r="E91" t="s">
        <v>34</v>
      </c>
      <c r="I91" t="s">
        <v>22</v>
      </c>
      <c r="M91" t="s">
        <v>22</v>
      </c>
      <c r="Q91" t="s">
        <v>22</v>
      </c>
      <c r="U91" t="s">
        <v>34</v>
      </c>
      <c r="Y91" t="s">
        <v>22</v>
      </c>
      <c r="AC91" t="s">
        <v>34</v>
      </c>
    </row>
    <row r="92" spans="1:29" x14ac:dyDescent="0.25">
      <c r="A92" t="s">
        <v>1548</v>
      </c>
      <c r="E92" t="s">
        <v>1652</v>
      </c>
      <c r="I92" t="s">
        <v>1760</v>
      </c>
      <c r="M92" t="s">
        <v>1864</v>
      </c>
      <c r="Q92" t="s">
        <v>1966</v>
      </c>
      <c r="U92" t="s">
        <v>2073</v>
      </c>
      <c r="Y92" t="s">
        <v>2184</v>
      </c>
      <c r="AC92" t="s">
        <v>2232</v>
      </c>
    </row>
    <row r="93" spans="1:29" x14ac:dyDescent="0.25">
      <c r="A93" t="s">
        <v>24</v>
      </c>
      <c r="E93" t="s">
        <v>36</v>
      </c>
      <c r="I93" t="s">
        <v>24</v>
      </c>
      <c r="M93" t="s">
        <v>24</v>
      </c>
      <c r="Q93" t="s">
        <v>24</v>
      </c>
      <c r="U93" t="s">
        <v>36</v>
      </c>
      <c r="Y93" t="s">
        <v>24</v>
      </c>
      <c r="AC93" t="s">
        <v>36</v>
      </c>
    </row>
    <row r="94" spans="1:29" x14ac:dyDescent="0.25">
      <c r="A94" t="s">
        <v>25</v>
      </c>
      <c r="E94" t="s">
        <v>37</v>
      </c>
      <c r="I94" t="s">
        <v>25</v>
      </c>
      <c r="M94" t="s">
        <v>25</v>
      </c>
      <c r="Q94" t="s">
        <v>25</v>
      </c>
      <c r="U94" t="s">
        <v>37</v>
      </c>
      <c r="Y94" t="s">
        <v>25</v>
      </c>
      <c r="AC94" t="s">
        <v>37</v>
      </c>
    </row>
    <row r="95" spans="1:29" x14ac:dyDescent="0.25">
      <c r="A95" t="s">
        <v>26</v>
      </c>
      <c r="E95" t="s">
        <v>38</v>
      </c>
      <c r="I95" t="s">
        <v>26</v>
      </c>
      <c r="M95" t="s">
        <v>26</v>
      </c>
      <c r="Q95" t="s">
        <v>26</v>
      </c>
      <c r="U95" t="s">
        <v>38</v>
      </c>
      <c r="Y95" t="s">
        <v>26</v>
      </c>
      <c r="AC95" t="s">
        <v>38</v>
      </c>
    </row>
    <row r="97" spans="1:29" x14ac:dyDescent="0.25">
      <c r="A97" t="s">
        <v>8</v>
      </c>
      <c r="E97" t="s">
        <v>14</v>
      </c>
      <c r="I97" t="s">
        <v>8</v>
      </c>
      <c r="M97" t="s">
        <v>8</v>
      </c>
      <c r="Q97" t="s">
        <v>8</v>
      </c>
      <c r="U97" t="s">
        <v>14</v>
      </c>
      <c r="Y97" t="s">
        <v>8</v>
      </c>
      <c r="AC97" t="s">
        <v>14</v>
      </c>
    </row>
    <row r="98" spans="1:29" x14ac:dyDescent="0.25">
      <c r="A98" t="s">
        <v>9</v>
      </c>
      <c r="E98" t="s">
        <v>15</v>
      </c>
      <c r="I98" t="s">
        <v>9</v>
      </c>
      <c r="M98" t="s">
        <v>9</v>
      </c>
      <c r="Q98" t="s">
        <v>9</v>
      </c>
      <c r="U98" t="s">
        <v>15</v>
      </c>
      <c r="Y98" t="s">
        <v>9</v>
      </c>
      <c r="AC98" t="s">
        <v>15</v>
      </c>
    </row>
    <row r="99" spans="1:29" x14ac:dyDescent="0.25">
      <c r="A99" t="s">
        <v>1549</v>
      </c>
      <c r="E99" t="s">
        <v>1653</v>
      </c>
      <c r="I99" t="s">
        <v>1761</v>
      </c>
      <c r="M99" t="s">
        <v>1865</v>
      </c>
      <c r="Q99" t="s">
        <v>1967</v>
      </c>
      <c r="U99" t="s">
        <v>2074</v>
      </c>
      <c r="Y99" t="s">
        <v>2185</v>
      </c>
      <c r="AC99" t="s">
        <v>2293</v>
      </c>
    </row>
    <row r="100" spans="1:29" x14ac:dyDescent="0.25">
      <c r="A100" t="s">
        <v>28</v>
      </c>
      <c r="E100" t="s">
        <v>16</v>
      </c>
      <c r="I100" t="s">
        <v>28</v>
      </c>
      <c r="M100" t="s">
        <v>28</v>
      </c>
      <c r="Q100" t="s">
        <v>28</v>
      </c>
      <c r="U100" t="s">
        <v>16</v>
      </c>
      <c r="Y100" t="s">
        <v>28</v>
      </c>
      <c r="AC100" t="s">
        <v>16</v>
      </c>
    </row>
    <row r="101" spans="1:29" x14ac:dyDescent="0.25">
      <c r="A101" t="s">
        <v>1550</v>
      </c>
      <c r="E101" t="s">
        <v>1654</v>
      </c>
      <c r="I101" t="s">
        <v>1688</v>
      </c>
      <c r="M101" t="s">
        <v>1866</v>
      </c>
      <c r="Q101" t="s">
        <v>1968</v>
      </c>
      <c r="U101" t="s">
        <v>2075</v>
      </c>
      <c r="Y101" t="s">
        <v>2186</v>
      </c>
      <c r="AC101" t="s">
        <v>2294</v>
      </c>
    </row>
    <row r="102" spans="1:29" x14ac:dyDescent="0.25">
      <c r="A102" t="s">
        <v>30</v>
      </c>
      <c r="E102" t="s">
        <v>18</v>
      </c>
      <c r="I102" t="s">
        <v>30</v>
      </c>
      <c r="M102" t="s">
        <v>30</v>
      </c>
      <c r="Q102" t="s">
        <v>30</v>
      </c>
      <c r="U102" t="s">
        <v>18</v>
      </c>
      <c r="Y102" t="s">
        <v>30</v>
      </c>
      <c r="AC102" t="s">
        <v>18</v>
      </c>
    </row>
    <row r="103" spans="1:29" x14ac:dyDescent="0.25">
      <c r="A103" t="s">
        <v>31</v>
      </c>
      <c r="E103" t="s">
        <v>19</v>
      </c>
      <c r="I103" t="s">
        <v>31</v>
      </c>
      <c r="M103" t="s">
        <v>31</v>
      </c>
      <c r="Q103" t="s">
        <v>31</v>
      </c>
      <c r="U103" t="s">
        <v>19</v>
      </c>
      <c r="Y103" t="s">
        <v>31</v>
      </c>
      <c r="AC103" t="s">
        <v>19</v>
      </c>
    </row>
    <row r="104" spans="1:29" x14ac:dyDescent="0.25">
      <c r="A104" t="s">
        <v>32</v>
      </c>
      <c r="E104" t="s">
        <v>20</v>
      </c>
      <c r="I104" t="s">
        <v>32</v>
      </c>
      <c r="M104" t="s">
        <v>32</v>
      </c>
      <c r="Q104" t="s">
        <v>32</v>
      </c>
      <c r="U104" t="s">
        <v>20</v>
      </c>
      <c r="Y104" t="s">
        <v>32</v>
      </c>
      <c r="AC104" t="s">
        <v>20</v>
      </c>
    </row>
    <row r="105" spans="1:29" x14ac:dyDescent="0.25">
      <c r="A105" t="s">
        <v>1551</v>
      </c>
      <c r="E105" t="s">
        <v>1655</v>
      </c>
      <c r="I105" t="s">
        <v>1762</v>
      </c>
      <c r="M105" t="s">
        <v>1867</v>
      </c>
      <c r="Q105" t="s">
        <v>1969</v>
      </c>
      <c r="U105" t="s">
        <v>2076</v>
      </c>
      <c r="Y105" t="s">
        <v>2187</v>
      </c>
      <c r="AC105" t="s">
        <v>1988</v>
      </c>
    </row>
    <row r="106" spans="1:29" x14ac:dyDescent="0.25">
      <c r="A106" t="s">
        <v>34</v>
      </c>
      <c r="E106" t="s">
        <v>22</v>
      </c>
      <c r="I106" t="s">
        <v>34</v>
      </c>
      <c r="M106" t="s">
        <v>34</v>
      </c>
      <c r="Q106" t="s">
        <v>34</v>
      </c>
      <c r="U106" t="s">
        <v>22</v>
      </c>
      <c r="Y106" t="s">
        <v>34</v>
      </c>
      <c r="AC106" t="s">
        <v>22</v>
      </c>
    </row>
    <row r="107" spans="1:29" x14ac:dyDescent="0.25">
      <c r="A107" t="s">
        <v>1552</v>
      </c>
      <c r="E107" t="s">
        <v>1656</v>
      </c>
      <c r="I107" t="s">
        <v>1763</v>
      </c>
      <c r="M107" t="s">
        <v>1868</v>
      </c>
      <c r="Q107" t="s">
        <v>922</v>
      </c>
      <c r="U107" t="s">
        <v>2077</v>
      </c>
      <c r="Y107" t="s">
        <v>2188</v>
      </c>
      <c r="AC107" t="s">
        <v>1989</v>
      </c>
    </row>
    <row r="108" spans="1:29" x14ac:dyDescent="0.25">
      <c r="A108" t="s">
        <v>36</v>
      </c>
      <c r="E108" t="s">
        <v>24</v>
      </c>
      <c r="I108" t="s">
        <v>36</v>
      </c>
      <c r="M108" t="s">
        <v>36</v>
      </c>
      <c r="Q108" t="s">
        <v>36</v>
      </c>
      <c r="U108" t="s">
        <v>24</v>
      </c>
      <c r="Y108" t="s">
        <v>36</v>
      </c>
      <c r="AC108" t="s">
        <v>24</v>
      </c>
    </row>
    <row r="109" spans="1:29" x14ac:dyDescent="0.25">
      <c r="A109" t="s">
        <v>37</v>
      </c>
      <c r="E109" t="s">
        <v>25</v>
      </c>
      <c r="I109" t="s">
        <v>37</v>
      </c>
      <c r="M109" t="s">
        <v>37</v>
      </c>
      <c r="Q109" t="s">
        <v>37</v>
      </c>
      <c r="U109" t="s">
        <v>25</v>
      </c>
      <c r="Y109" t="s">
        <v>37</v>
      </c>
      <c r="AC109" t="s">
        <v>25</v>
      </c>
    </row>
    <row r="110" spans="1:29" x14ac:dyDescent="0.25">
      <c r="A110" t="s">
        <v>38</v>
      </c>
      <c r="E110" t="s">
        <v>26</v>
      </c>
      <c r="I110" t="s">
        <v>38</v>
      </c>
      <c r="M110" t="s">
        <v>38</v>
      </c>
      <c r="Q110" t="s">
        <v>38</v>
      </c>
      <c r="U110" t="s">
        <v>26</v>
      </c>
      <c r="Y110" t="s">
        <v>38</v>
      </c>
      <c r="AC110" t="s">
        <v>26</v>
      </c>
    </row>
    <row r="112" spans="1:29" x14ac:dyDescent="0.25">
      <c r="A112" t="s">
        <v>14</v>
      </c>
      <c r="E112" t="s">
        <v>8</v>
      </c>
      <c r="I112" t="s">
        <v>14</v>
      </c>
      <c r="M112" t="s">
        <v>14</v>
      </c>
      <c r="Q112" t="s">
        <v>14</v>
      </c>
      <c r="U112" t="s">
        <v>8</v>
      </c>
      <c r="Y112" t="s">
        <v>14</v>
      </c>
      <c r="AC112" t="s">
        <v>8</v>
      </c>
    </row>
    <row r="113" spans="1:29" x14ac:dyDescent="0.25">
      <c r="A113" t="s">
        <v>15</v>
      </c>
      <c r="E113" t="s">
        <v>9</v>
      </c>
      <c r="I113" t="s">
        <v>15</v>
      </c>
      <c r="M113" t="s">
        <v>15</v>
      </c>
      <c r="Q113" t="s">
        <v>15</v>
      </c>
      <c r="U113" t="s">
        <v>9</v>
      </c>
      <c r="Y113" t="s">
        <v>15</v>
      </c>
      <c r="AC113" t="s">
        <v>9</v>
      </c>
    </row>
    <row r="114" spans="1:29" x14ac:dyDescent="0.25">
      <c r="A114" t="s">
        <v>1553</v>
      </c>
      <c r="E114" t="s">
        <v>1657</v>
      </c>
      <c r="I114" t="s">
        <v>1764</v>
      </c>
      <c r="M114" t="s">
        <v>1869</v>
      </c>
      <c r="Q114" t="s">
        <v>1970</v>
      </c>
      <c r="U114" t="s">
        <v>2078</v>
      </c>
      <c r="Y114" t="s">
        <v>2189</v>
      </c>
      <c r="AC114" t="s">
        <v>2295</v>
      </c>
    </row>
    <row r="115" spans="1:29" x14ac:dyDescent="0.25">
      <c r="A115" t="s">
        <v>16</v>
      </c>
      <c r="E115" t="s">
        <v>28</v>
      </c>
      <c r="I115" t="s">
        <v>16</v>
      </c>
      <c r="M115" t="s">
        <v>16</v>
      </c>
      <c r="Q115" t="s">
        <v>16</v>
      </c>
      <c r="U115" t="s">
        <v>28</v>
      </c>
      <c r="Y115" t="s">
        <v>16</v>
      </c>
      <c r="AC115" t="s">
        <v>28</v>
      </c>
    </row>
    <row r="116" spans="1:29" x14ac:dyDescent="0.25">
      <c r="A116" t="s">
        <v>1554</v>
      </c>
      <c r="E116" t="s">
        <v>1658</v>
      </c>
      <c r="I116" t="s">
        <v>1765</v>
      </c>
      <c r="M116" t="s">
        <v>449</v>
      </c>
      <c r="Q116" t="s">
        <v>1971</v>
      </c>
      <c r="U116" t="s">
        <v>2079</v>
      </c>
      <c r="Y116" t="s">
        <v>2190</v>
      </c>
      <c r="AC116" t="s">
        <v>2296</v>
      </c>
    </row>
    <row r="117" spans="1:29" x14ac:dyDescent="0.25">
      <c r="A117" t="s">
        <v>18</v>
      </c>
      <c r="E117" t="s">
        <v>30</v>
      </c>
      <c r="I117" t="s">
        <v>18</v>
      </c>
      <c r="M117" t="s">
        <v>18</v>
      </c>
      <c r="Q117" t="s">
        <v>18</v>
      </c>
      <c r="U117" t="s">
        <v>30</v>
      </c>
      <c r="Y117" t="s">
        <v>18</v>
      </c>
      <c r="AC117" t="s">
        <v>30</v>
      </c>
    </row>
    <row r="118" spans="1:29" x14ac:dyDescent="0.25">
      <c r="A118" t="s">
        <v>19</v>
      </c>
      <c r="E118" t="s">
        <v>31</v>
      </c>
      <c r="I118" t="s">
        <v>19</v>
      </c>
      <c r="M118" t="s">
        <v>19</v>
      </c>
      <c r="Q118" t="s">
        <v>19</v>
      </c>
      <c r="U118" t="s">
        <v>31</v>
      </c>
      <c r="Y118" t="s">
        <v>19</v>
      </c>
      <c r="AC118" t="s">
        <v>31</v>
      </c>
    </row>
    <row r="119" spans="1:29" x14ac:dyDescent="0.25">
      <c r="A119" t="s">
        <v>20</v>
      </c>
      <c r="E119" t="s">
        <v>32</v>
      </c>
      <c r="I119" t="s">
        <v>20</v>
      </c>
      <c r="M119" t="s">
        <v>20</v>
      </c>
      <c r="Q119" t="s">
        <v>20</v>
      </c>
      <c r="U119" t="s">
        <v>32</v>
      </c>
      <c r="Y119" t="s">
        <v>20</v>
      </c>
      <c r="AC119" t="s">
        <v>32</v>
      </c>
    </row>
    <row r="120" spans="1:29" x14ac:dyDescent="0.25">
      <c r="A120" t="s">
        <v>1555</v>
      </c>
      <c r="E120" t="s">
        <v>1659</v>
      </c>
      <c r="I120" t="s">
        <v>1766</v>
      </c>
      <c r="M120" t="s">
        <v>1870</v>
      </c>
      <c r="Q120" t="s">
        <v>1972</v>
      </c>
      <c r="U120" t="s">
        <v>2080</v>
      </c>
      <c r="Y120" t="s">
        <v>2191</v>
      </c>
      <c r="AC120" t="s">
        <v>2297</v>
      </c>
    </row>
    <row r="121" spans="1:29" x14ac:dyDescent="0.25">
      <c r="A121" t="s">
        <v>22</v>
      </c>
      <c r="E121" t="s">
        <v>34</v>
      </c>
      <c r="I121" t="s">
        <v>22</v>
      </c>
      <c r="M121" t="s">
        <v>22</v>
      </c>
      <c r="Q121" t="s">
        <v>22</v>
      </c>
      <c r="U121" t="s">
        <v>34</v>
      </c>
      <c r="Y121" t="s">
        <v>22</v>
      </c>
      <c r="AC121" t="s">
        <v>34</v>
      </c>
    </row>
    <row r="122" spans="1:29" x14ac:dyDescent="0.25">
      <c r="A122" t="s">
        <v>1556</v>
      </c>
      <c r="E122" t="s">
        <v>1660</v>
      </c>
      <c r="I122" t="s">
        <v>1767</v>
      </c>
      <c r="M122" t="s">
        <v>1871</v>
      </c>
      <c r="Q122" t="s">
        <v>1973</v>
      </c>
      <c r="U122" t="s">
        <v>2081</v>
      </c>
      <c r="Y122" t="s">
        <v>2192</v>
      </c>
      <c r="AC122" t="s">
        <v>2298</v>
      </c>
    </row>
    <row r="123" spans="1:29" x14ac:dyDescent="0.25">
      <c r="A123" t="s">
        <v>24</v>
      </c>
      <c r="E123" t="s">
        <v>36</v>
      </c>
      <c r="I123" t="s">
        <v>24</v>
      </c>
      <c r="M123" t="s">
        <v>24</v>
      </c>
      <c r="Q123" t="s">
        <v>24</v>
      </c>
      <c r="U123" t="s">
        <v>36</v>
      </c>
      <c r="Y123" t="s">
        <v>24</v>
      </c>
      <c r="AC123" t="s">
        <v>36</v>
      </c>
    </row>
    <row r="124" spans="1:29" x14ac:dyDescent="0.25">
      <c r="A124" t="s">
        <v>25</v>
      </c>
      <c r="E124" t="s">
        <v>37</v>
      </c>
      <c r="I124" t="s">
        <v>25</v>
      </c>
      <c r="M124" t="s">
        <v>25</v>
      </c>
      <c r="Q124" t="s">
        <v>25</v>
      </c>
      <c r="U124" t="s">
        <v>37</v>
      </c>
      <c r="Y124" t="s">
        <v>25</v>
      </c>
      <c r="AC124" t="s">
        <v>37</v>
      </c>
    </row>
    <row r="125" spans="1:29" x14ac:dyDescent="0.25">
      <c r="A125" t="s">
        <v>26</v>
      </c>
      <c r="E125" t="s">
        <v>38</v>
      </c>
      <c r="I125" t="s">
        <v>26</v>
      </c>
      <c r="M125" t="s">
        <v>26</v>
      </c>
      <c r="Q125" t="s">
        <v>26</v>
      </c>
      <c r="U125" t="s">
        <v>38</v>
      </c>
      <c r="Y125" t="s">
        <v>26</v>
      </c>
      <c r="AC125" t="s">
        <v>38</v>
      </c>
    </row>
    <row r="127" spans="1:29" x14ac:dyDescent="0.25">
      <c r="A127" t="s">
        <v>8</v>
      </c>
      <c r="E127" t="s">
        <v>14</v>
      </c>
      <c r="I127" t="s">
        <v>8</v>
      </c>
      <c r="M127" t="s">
        <v>8</v>
      </c>
      <c r="Q127" t="s">
        <v>8</v>
      </c>
      <c r="U127" t="s">
        <v>14</v>
      </c>
      <c r="Y127" t="s">
        <v>8</v>
      </c>
      <c r="AC127" t="s">
        <v>14</v>
      </c>
    </row>
    <row r="128" spans="1:29" x14ac:dyDescent="0.25">
      <c r="A128" t="s">
        <v>9</v>
      </c>
      <c r="E128" t="s">
        <v>15</v>
      </c>
      <c r="I128" t="s">
        <v>9</v>
      </c>
      <c r="M128" t="s">
        <v>9</v>
      </c>
      <c r="Q128" t="s">
        <v>9</v>
      </c>
      <c r="U128" t="s">
        <v>15</v>
      </c>
      <c r="Y128" t="s">
        <v>9</v>
      </c>
      <c r="AC128" t="s">
        <v>15</v>
      </c>
    </row>
    <row r="129" spans="1:29" x14ac:dyDescent="0.25">
      <c r="A129" t="s">
        <v>1557</v>
      </c>
      <c r="E129" t="s">
        <v>1661</v>
      </c>
      <c r="I129" t="s">
        <v>1768</v>
      </c>
      <c r="M129" t="s">
        <v>1872</v>
      </c>
      <c r="Q129" t="s">
        <v>1974</v>
      </c>
      <c r="U129" t="s">
        <v>2082</v>
      </c>
      <c r="Y129" t="s">
        <v>2193</v>
      </c>
      <c r="AC129" t="s">
        <v>2299</v>
      </c>
    </row>
    <row r="130" spans="1:29" x14ac:dyDescent="0.25">
      <c r="A130" t="s">
        <v>28</v>
      </c>
      <c r="E130" t="s">
        <v>16</v>
      </c>
      <c r="I130" t="s">
        <v>28</v>
      </c>
      <c r="M130" t="s">
        <v>28</v>
      </c>
      <c r="Q130" t="s">
        <v>28</v>
      </c>
      <c r="U130" t="s">
        <v>16</v>
      </c>
      <c r="Y130" t="s">
        <v>28</v>
      </c>
      <c r="AC130" t="s">
        <v>16</v>
      </c>
    </row>
    <row r="131" spans="1:29" x14ac:dyDescent="0.25">
      <c r="A131" t="s">
        <v>1558</v>
      </c>
      <c r="E131" t="s">
        <v>1662</v>
      </c>
      <c r="I131" t="s">
        <v>1769</v>
      </c>
      <c r="M131" t="s">
        <v>491</v>
      </c>
      <c r="Q131" t="s">
        <v>1975</v>
      </c>
      <c r="U131" t="s">
        <v>2083</v>
      </c>
      <c r="Y131" t="s">
        <v>2194</v>
      </c>
      <c r="AC131" t="s">
        <v>2300</v>
      </c>
    </row>
    <row r="132" spans="1:29" x14ac:dyDescent="0.25">
      <c r="A132" t="s">
        <v>30</v>
      </c>
      <c r="E132" t="s">
        <v>18</v>
      </c>
      <c r="I132" t="s">
        <v>30</v>
      </c>
      <c r="M132" t="s">
        <v>30</v>
      </c>
      <c r="Q132" t="s">
        <v>30</v>
      </c>
      <c r="U132" t="s">
        <v>18</v>
      </c>
      <c r="Y132" t="s">
        <v>30</v>
      </c>
      <c r="AC132" t="s">
        <v>18</v>
      </c>
    </row>
    <row r="133" spans="1:29" x14ac:dyDescent="0.25">
      <c r="A133" t="s">
        <v>31</v>
      </c>
      <c r="E133" t="s">
        <v>19</v>
      </c>
      <c r="I133" t="s">
        <v>31</v>
      </c>
      <c r="M133" t="s">
        <v>31</v>
      </c>
      <c r="Q133" t="s">
        <v>31</v>
      </c>
      <c r="U133" t="s">
        <v>19</v>
      </c>
      <c r="Y133" t="s">
        <v>31</v>
      </c>
      <c r="AC133" t="s">
        <v>19</v>
      </c>
    </row>
    <row r="134" spans="1:29" x14ac:dyDescent="0.25">
      <c r="A134" t="s">
        <v>32</v>
      </c>
      <c r="E134" t="s">
        <v>20</v>
      </c>
      <c r="I134" t="s">
        <v>32</v>
      </c>
      <c r="M134" t="s">
        <v>32</v>
      </c>
      <c r="Q134" t="s">
        <v>32</v>
      </c>
      <c r="U134" t="s">
        <v>20</v>
      </c>
      <c r="Y134" t="s">
        <v>32</v>
      </c>
      <c r="AC134" t="s">
        <v>20</v>
      </c>
    </row>
    <row r="135" spans="1:29" x14ac:dyDescent="0.25">
      <c r="A135" t="s">
        <v>1559</v>
      </c>
      <c r="E135" t="s">
        <v>1663</v>
      </c>
      <c r="I135" t="s">
        <v>1770</v>
      </c>
      <c r="M135" t="s">
        <v>1873</v>
      </c>
      <c r="Q135" t="s">
        <v>1976</v>
      </c>
      <c r="U135" t="s">
        <v>326</v>
      </c>
      <c r="Y135" t="s">
        <v>2195</v>
      </c>
      <c r="AC135" t="s">
        <v>2301</v>
      </c>
    </row>
    <row r="136" spans="1:29" x14ac:dyDescent="0.25">
      <c r="A136" t="s">
        <v>34</v>
      </c>
      <c r="E136" t="s">
        <v>22</v>
      </c>
      <c r="I136" t="s">
        <v>34</v>
      </c>
      <c r="M136" t="s">
        <v>34</v>
      </c>
      <c r="Q136" t="s">
        <v>34</v>
      </c>
      <c r="U136" t="s">
        <v>22</v>
      </c>
      <c r="Y136" t="s">
        <v>34</v>
      </c>
      <c r="AC136" t="s">
        <v>22</v>
      </c>
    </row>
    <row r="137" spans="1:29" x14ac:dyDescent="0.25">
      <c r="A137" t="s">
        <v>1560</v>
      </c>
      <c r="E137" t="s">
        <v>1664</v>
      </c>
      <c r="I137" t="s">
        <v>1771</v>
      </c>
      <c r="M137" t="s">
        <v>1874</v>
      </c>
      <c r="Q137" t="s">
        <v>1977</v>
      </c>
      <c r="U137" t="s">
        <v>2084</v>
      </c>
      <c r="Y137" t="s">
        <v>2196</v>
      </c>
      <c r="AC137" t="s">
        <v>2302</v>
      </c>
    </row>
    <row r="138" spans="1:29" x14ac:dyDescent="0.25">
      <c r="A138" t="s">
        <v>36</v>
      </c>
      <c r="E138" t="s">
        <v>24</v>
      </c>
      <c r="I138" t="s">
        <v>36</v>
      </c>
      <c r="M138" t="s">
        <v>36</v>
      </c>
      <c r="Q138" t="s">
        <v>36</v>
      </c>
      <c r="U138" t="s">
        <v>24</v>
      </c>
      <c r="Y138" t="s">
        <v>36</v>
      </c>
      <c r="AC138" t="s">
        <v>24</v>
      </c>
    </row>
    <row r="139" spans="1:29" x14ac:dyDescent="0.25">
      <c r="A139" t="s">
        <v>37</v>
      </c>
      <c r="E139" t="s">
        <v>25</v>
      </c>
      <c r="I139" t="s">
        <v>37</v>
      </c>
      <c r="M139" t="s">
        <v>37</v>
      </c>
      <c r="Q139" t="s">
        <v>37</v>
      </c>
      <c r="U139" t="s">
        <v>25</v>
      </c>
      <c r="Y139" t="s">
        <v>37</v>
      </c>
      <c r="AC139" t="s">
        <v>25</v>
      </c>
    </row>
    <row r="140" spans="1:29" x14ac:dyDescent="0.25">
      <c r="A140" t="s">
        <v>38</v>
      </c>
      <c r="E140" t="s">
        <v>26</v>
      </c>
      <c r="I140" t="s">
        <v>38</v>
      </c>
      <c r="M140" t="s">
        <v>38</v>
      </c>
      <c r="Q140" t="s">
        <v>38</v>
      </c>
      <c r="U140" t="s">
        <v>26</v>
      </c>
      <c r="Y140" t="s">
        <v>38</v>
      </c>
      <c r="AC140" t="s">
        <v>26</v>
      </c>
    </row>
    <row r="142" spans="1:29" x14ac:dyDescent="0.25">
      <c r="A142" t="s">
        <v>14</v>
      </c>
      <c r="E142" t="s">
        <v>8</v>
      </c>
      <c r="I142" t="s">
        <v>14</v>
      </c>
      <c r="M142" t="s">
        <v>14</v>
      </c>
      <c r="Q142" t="s">
        <v>14</v>
      </c>
      <c r="U142" t="s">
        <v>8</v>
      </c>
      <c r="Y142" t="s">
        <v>14</v>
      </c>
      <c r="AC142" t="s">
        <v>8</v>
      </c>
    </row>
    <row r="143" spans="1:29" x14ac:dyDescent="0.25">
      <c r="A143" t="s">
        <v>15</v>
      </c>
      <c r="E143" t="s">
        <v>9</v>
      </c>
      <c r="I143" t="s">
        <v>15</v>
      </c>
      <c r="M143" t="s">
        <v>15</v>
      </c>
      <c r="Q143" t="s">
        <v>15</v>
      </c>
      <c r="U143" t="s">
        <v>9</v>
      </c>
      <c r="Y143" t="s">
        <v>15</v>
      </c>
      <c r="AC143" t="s">
        <v>9</v>
      </c>
    </row>
    <row r="144" spans="1:29" x14ac:dyDescent="0.25">
      <c r="A144" t="s">
        <v>1561</v>
      </c>
      <c r="E144" t="s">
        <v>1665</v>
      </c>
      <c r="I144" t="s">
        <v>1772</v>
      </c>
      <c r="M144" t="s">
        <v>1875</v>
      </c>
      <c r="Q144" t="s">
        <v>1978</v>
      </c>
      <c r="U144" t="s">
        <v>2085</v>
      </c>
      <c r="Y144" t="s">
        <v>2197</v>
      </c>
      <c r="AC144" t="s">
        <v>2303</v>
      </c>
    </row>
    <row r="145" spans="1:29" x14ac:dyDescent="0.25">
      <c r="A145" t="s">
        <v>16</v>
      </c>
      <c r="E145" t="s">
        <v>28</v>
      </c>
      <c r="I145" t="s">
        <v>16</v>
      </c>
      <c r="M145" t="s">
        <v>16</v>
      </c>
      <c r="Q145" t="s">
        <v>16</v>
      </c>
      <c r="U145" t="s">
        <v>28</v>
      </c>
      <c r="Y145" t="s">
        <v>16</v>
      </c>
      <c r="AC145" t="s">
        <v>28</v>
      </c>
    </row>
    <row r="146" spans="1:29" x14ac:dyDescent="0.25">
      <c r="A146" t="s">
        <v>1562</v>
      </c>
      <c r="E146" t="s">
        <v>1666</v>
      </c>
      <c r="I146" t="s">
        <v>1562</v>
      </c>
      <c r="M146" t="s">
        <v>1654</v>
      </c>
      <c r="Q146" t="s">
        <v>1979</v>
      </c>
      <c r="U146" t="s">
        <v>2086</v>
      </c>
      <c r="Y146" t="s">
        <v>2198</v>
      </c>
      <c r="AC146" t="s">
        <v>2304</v>
      </c>
    </row>
    <row r="147" spans="1:29" x14ac:dyDescent="0.25">
      <c r="A147" t="s">
        <v>18</v>
      </c>
      <c r="E147" t="s">
        <v>30</v>
      </c>
      <c r="I147" t="s">
        <v>18</v>
      </c>
      <c r="M147" t="s">
        <v>18</v>
      </c>
      <c r="Q147" t="s">
        <v>18</v>
      </c>
      <c r="U147" t="s">
        <v>30</v>
      </c>
      <c r="Y147" t="s">
        <v>18</v>
      </c>
      <c r="AC147" t="s">
        <v>30</v>
      </c>
    </row>
    <row r="148" spans="1:29" x14ac:dyDescent="0.25">
      <c r="A148" t="s">
        <v>19</v>
      </c>
      <c r="E148" t="s">
        <v>31</v>
      </c>
      <c r="I148" t="s">
        <v>19</v>
      </c>
      <c r="M148" t="s">
        <v>19</v>
      </c>
      <c r="Q148" t="s">
        <v>19</v>
      </c>
      <c r="U148" t="s">
        <v>31</v>
      </c>
      <c r="Y148" t="s">
        <v>19</v>
      </c>
      <c r="AC148" t="s">
        <v>31</v>
      </c>
    </row>
    <row r="149" spans="1:29" x14ac:dyDescent="0.25">
      <c r="A149" t="s">
        <v>20</v>
      </c>
      <c r="E149" t="s">
        <v>32</v>
      </c>
      <c r="I149" t="s">
        <v>20</v>
      </c>
      <c r="M149" t="s">
        <v>20</v>
      </c>
      <c r="Q149" t="s">
        <v>20</v>
      </c>
      <c r="U149" t="s">
        <v>32</v>
      </c>
      <c r="Y149" t="s">
        <v>20</v>
      </c>
      <c r="AC149" t="s">
        <v>32</v>
      </c>
    </row>
    <row r="150" spans="1:29" x14ac:dyDescent="0.25">
      <c r="A150" t="s">
        <v>1563</v>
      </c>
      <c r="E150" t="s">
        <v>1667</v>
      </c>
      <c r="I150" t="s">
        <v>1773</v>
      </c>
      <c r="M150" t="s">
        <v>1876</v>
      </c>
      <c r="Q150" t="s">
        <v>1980</v>
      </c>
      <c r="U150" t="s">
        <v>2087</v>
      </c>
      <c r="Y150" t="s">
        <v>2199</v>
      </c>
      <c r="AC150" t="s">
        <v>2305</v>
      </c>
    </row>
    <row r="151" spans="1:29" x14ac:dyDescent="0.25">
      <c r="A151" t="s">
        <v>22</v>
      </c>
      <c r="E151" t="s">
        <v>34</v>
      </c>
      <c r="I151" t="s">
        <v>22</v>
      </c>
      <c r="M151" t="s">
        <v>22</v>
      </c>
      <c r="Q151" t="s">
        <v>22</v>
      </c>
      <c r="U151" t="s">
        <v>34</v>
      </c>
      <c r="Y151" t="s">
        <v>22</v>
      </c>
      <c r="AC151" t="s">
        <v>34</v>
      </c>
    </row>
    <row r="152" spans="1:29" x14ac:dyDescent="0.25">
      <c r="A152" t="s">
        <v>1564</v>
      </c>
      <c r="E152" t="s">
        <v>1668</v>
      </c>
      <c r="I152" t="s">
        <v>1774</v>
      </c>
      <c r="M152" t="s">
        <v>1877</v>
      </c>
      <c r="Q152" t="s">
        <v>1981</v>
      </c>
      <c r="U152" t="s">
        <v>2088</v>
      </c>
      <c r="Y152" t="s">
        <v>2200</v>
      </c>
      <c r="AC152" t="s">
        <v>859</v>
      </c>
    </row>
    <row r="153" spans="1:29" x14ac:dyDescent="0.25">
      <c r="A153" t="s">
        <v>24</v>
      </c>
      <c r="E153" t="s">
        <v>36</v>
      </c>
      <c r="I153" t="s">
        <v>24</v>
      </c>
      <c r="M153" t="s">
        <v>24</v>
      </c>
      <c r="Q153" t="s">
        <v>24</v>
      </c>
      <c r="U153" t="s">
        <v>36</v>
      </c>
      <c r="Y153" t="s">
        <v>24</v>
      </c>
      <c r="AC153" t="s">
        <v>36</v>
      </c>
    </row>
    <row r="154" spans="1:29" x14ac:dyDescent="0.25">
      <c r="A154" t="s">
        <v>25</v>
      </c>
      <c r="E154" t="s">
        <v>37</v>
      </c>
      <c r="I154" t="s">
        <v>25</v>
      </c>
      <c r="M154" t="s">
        <v>25</v>
      </c>
      <c r="Q154" t="s">
        <v>25</v>
      </c>
      <c r="U154" t="s">
        <v>37</v>
      </c>
      <c r="Y154" t="s">
        <v>25</v>
      </c>
      <c r="AC154" t="s">
        <v>37</v>
      </c>
    </row>
    <row r="155" spans="1:29" x14ac:dyDescent="0.25">
      <c r="A155" t="s">
        <v>26</v>
      </c>
      <c r="E155" t="s">
        <v>38</v>
      </c>
      <c r="I155" t="s">
        <v>26</v>
      </c>
      <c r="M155" t="s">
        <v>26</v>
      </c>
      <c r="Q155" t="s">
        <v>26</v>
      </c>
      <c r="U155" t="s">
        <v>38</v>
      </c>
      <c r="Y155" t="s">
        <v>26</v>
      </c>
      <c r="AC155" t="s">
        <v>38</v>
      </c>
    </row>
    <row r="157" spans="1:29" x14ac:dyDescent="0.25">
      <c r="A157" t="s">
        <v>8</v>
      </c>
      <c r="E157" t="s">
        <v>14</v>
      </c>
      <c r="I157" t="s">
        <v>8</v>
      </c>
      <c r="M157" t="s">
        <v>8</v>
      </c>
      <c r="Q157" t="s">
        <v>8</v>
      </c>
      <c r="U157" t="s">
        <v>14</v>
      </c>
      <c r="Y157" t="s">
        <v>8</v>
      </c>
      <c r="AC157" t="s">
        <v>14</v>
      </c>
    </row>
    <row r="158" spans="1:29" x14ac:dyDescent="0.25">
      <c r="A158" t="s">
        <v>9</v>
      </c>
      <c r="E158" t="s">
        <v>15</v>
      </c>
      <c r="I158" t="s">
        <v>9</v>
      </c>
      <c r="M158" t="s">
        <v>9</v>
      </c>
      <c r="Q158" t="s">
        <v>9</v>
      </c>
      <c r="U158" t="s">
        <v>15</v>
      </c>
      <c r="Y158" t="s">
        <v>9</v>
      </c>
      <c r="AC158" t="s">
        <v>15</v>
      </c>
    </row>
    <row r="159" spans="1:29" x14ac:dyDescent="0.25">
      <c r="A159" t="s">
        <v>1565</v>
      </c>
      <c r="E159" t="s">
        <v>1669</v>
      </c>
      <c r="I159" t="s">
        <v>1775</v>
      </c>
      <c r="M159" t="s">
        <v>1878</v>
      </c>
      <c r="Q159" t="s">
        <v>1982</v>
      </c>
      <c r="U159" t="s">
        <v>2089</v>
      </c>
      <c r="Y159" t="s">
        <v>2201</v>
      </c>
      <c r="AC159" t="s">
        <v>2306</v>
      </c>
    </row>
    <row r="160" spans="1:29" x14ac:dyDescent="0.25">
      <c r="A160" t="s">
        <v>28</v>
      </c>
      <c r="E160" t="s">
        <v>16</v>
      </c>
      <c r="I160" t="s">
        <v>28</v>
      </c>
      <c r="M160" t="s">
        <v>28</v>
      </c>
      <c r="Q160" t="s">
        <v>28</v>
      </c>
      <c r="U160" t="s">
        <v>16</v>
      </c>
      <c r="Y160" t="s">
        <v>28</v>
      </c>
      <c r="AC160" t="s">
        <v>16</v>
      </c>
    </row>
    <row r="161" spans="1:29" x14ac:dyDescent="0.25">
      <c r="A161" t="s">
        <v>1566</v>
      </c>
      <c r="E161" t="s">
        <v>1670</v>
      </c>
      <c r="I161" t="s">
        <v>1574</v>
      </c>
      <c r="M161" t="s">
        <v>1658</v>
      </c>
      <c r="Q161" t="s">
        <v>1983</v>
      </c>
      <c r="U161" t="s">
        <v>2090</v>
      </c>
      <c r="Y161" t="s">
        <v>2202</v>
      </c>
      <c r="AC161" t="s">
        <v>2307</v>
      </c>
    </row>
    <row r="162" spans="1:29" x14ac:dyDescent="0.25">
      <c r="A162" t="s">
        <v>30</v>
      </c>
      <c r="E162" t="s">
        <v>18</v>
      </c>
      <c r="I162" t="s">
        <v>30</v>
      </c>
      <c r="M162" t="s">
        <v>30</v>
      </c>
      <c r="Q162" t="s">
        <v>30</v>
      </c>
      <c r="U162" t="s">
        <v>18</v>
      </c>
      <c r="Y162" t="s">
        <v>30</v>
      </c>
      <c r="AC162" t="s">
        <v>18</v>
      </c>
    </row>
    <row r="163" spans="1:29" x14ac:dyDescent="0.25">
      <c r="A163" t="s">
        <v>31</v>
      </c>
      <c r="E163" t="s">
        <v>19</v>
      </c>
      <c r="I163" t="s">
        <v>31</v>
      </c>
      <c r="M163" t="s">
        <v>31</v>
      </c>
      <c r="Q163" t="s">
        <v>31</v>
      </c>
      <c r="U163" t="s">
        <v>19</v>
      </c>
      <c r="Y163" t="s">
        <v>31</v>
      </c>
      <c r="AC163" t="s">
        <v>19</v>
      </c>
    </row>
    <row r="164" spans="1:29" x14ac:dyDescent="0.25">
      <c r="A164" t="s">
        <v>32</v>
      </c>
      <c r="E164" t="s">
        <v>20</v>
      </c>
      <c r="I164" t="s">
        <v>32</v>
      </c>
      <c r="M164" t="s">
        <v>32</v>
      </c>
      <c r="Q164" t="s">
        <v>32</v>
      </c>
      <c r="U164" t="s">
        <v>20</v>
      </c>
      <c r="Y164" t="s">
        <v>32</v>
      </c>
      <c r="AC164" t="s">
        <v>20</v>
      </c>
    </row>
    <row r="165" spans="1:29" x14ac:dyDescent="0.25">
      <c r="A165" t="s">
        <v>1567</v>
      </c>
      <c r="E165" t="s">
        <v>1671</v>
      </c>
      <c r="I165" t="s">
        <v>1776</v>
      </c>
      <c r="M165" t="s">
        <v>1879</v>
      </c>
      <c r="Q165" t="s">
        <v>1984</v>
      </c>
      <c r="U165" t="s">
        <v>2091</v>
      </c>
      <c r="Y165" t="s">
        <v>2203</v>
      </c>
      <c r="AC165" t="s">
        <v>2135</v>
      </c>
    </row>
    <row r="166" spans="1:29" x14ac:dyDescent="0.25">
      <c r="A166" t="s">
        <v>34</v>
      </c>
      <c r="E166" t="s">
        <v>22</v>
      </c>
      <c r="I166" t="s">
        <v>34</v>
      </c>
      <c r="M166" t="s">
        <v>34</v>
      </c>
      <c r="Q166" t="s">
        <v>34</v>
      </c>
      <c r="U166" t="s">
        <v>22</v>
      </c>
      <c r="Y166" t="s">
        <v>34</v>
      </c>
      <c r="AC166" t="s">
        <v>22</v>
      </c>
    </row>
    <row r="167" spans="1:29" x14ac:dyDescent="0.25">
      <c r="A167" t="s">
        <v>1568</v>
      </c>
      <c r="E167" t="s">
        <v>1672</v>
      </c>
      <c r="I167" t="s">
        <v>1777</v>
      </c>
      <c r="M167" t="s">
        <v>1880</v>
      </c>
      <c r="Q167" t="s">
        <v>1985</v>
      </c>
      <c r="U167" t="s">
        <v>2092</v>
      </c>
      <c r="Y167" t="s">
        <v>2204</v>
      </c>
      <c r="AC167" t="s">
        <v>2136</v>
      </c>
    </row>
    <row r="168" spans="1:29" x14ac:dyDescent="0.25">
      <c r="A168" t="s">
        <v>36</v>
      </c>
      <c r="E168" t="s">
        <v>24</v>
      </c>
      <c r="I168" t="s">
        <v>36</v>
      </c>
      <c r="M168" t="s">
        <v>36</v>
      </c>
      <c r="Q168" t="s">
        <v>36</v>
      </c>
      <c r="U168" t="s">
        <v>24</v>
      </c>
      <c r="Y168" t="s">
        <v>36</v>
      </c>
      <c r="AC168" t="s">
        <v>24</v>
      </c>
    </row>
    <row r="169" spans="1:29" x14ac:dyDescent="0.25">
      <c r="A169" t="s">
        <v>37</v>
      </c>
      <c r="E169" t="s">
        <v>25</v>
      </c>
      <c r="I169" t="s">
        <v>37</v>
      </c>
      <c r="M169" t="s">
        <v>37</v>
      </c>
      <c r="Q169" t="s">
        <v>37</v>
      </c>
      <c r="U169" t="s">
        <v>25</v>
      </c>
      <c r="Y169" t="s">
        <v>37</v>
      </c>
      <c r="AC169" t="s">
        <v>25</v>
      </c>
    </row>
    <row r="170" spans="1:29" x14ac:dyDescent="0.25">
      <c r="A170" t="s">
        <v>38</v>
      </c>
      <c r="E170" t="s">
        <v>26</v>
      </c>
      <c r="I170" t="s">
        <v>38</v>
      </c>
      <c r="M170" t="s">
        <v>38</v>
      </c>
      <c r="Q170" t="s">
        <v>38</v>
      </c>
      <c r="U170" t="s">
        <v>26</v>
      </c>
      <c r="Y170" t="s">
        <v>38</v>
      </c>
      <c r="AC170" t="s">
        <v>26</v>
      </c>
    </row>
    <row r="172" spans="1:29" x14ac:dyDescent="0.25">
      <c r="A172" t="s">
        <v>14</v>
      </c>
      <c r="E172" t="s">
        <v>8</v>
      </c>
      <c r="I172" t="s">
        <v>14</v>
      </c>
      <c r="M172" t="s">
        <v>14</v>
      </c>
      <c r="Q172" t="s">
        <v>14</v>
      </c>
      <c r="U172" t="s">
        <v>8</v>
      </c>
      <c r="Y172" t="s">
        <v>14</v>
      </c>
      <c r="AC172" t="s">
        <v>8</v>
      </c>
    </row>
    <row r="173" spans="1:29" x14ac:dyDescent="0.25">
      <c r="A173" t="s">
        <v>15</v>
      </c>
      <c r="E173" t="s">
        <v>9</v>
      </c>
      <c r="I173" t="s">
        <v>15</v>
      </c>
      <c r="M173" t="s">
        <v>15</v>
      </c>
      <c r="Q173" t="s">
        <v>15</v>
      </c>
      <c r="U173" t="s">
        <v>9</v>
      </c>
      <c r="Y173" t="s">
        <v>15</v>
      </c>
      <c r="AC173" t="s">
        <v>9</v>
      </c>
    </row>
    <row r="174" spans="1:29" x14ac:dyDescent="0.25">
      <c r="A174" t="s">
        <v>1569</v>
      </c>
      <c r="E174" t="s">
        <v>1673</v>
      </c>
      <c r="I174" t="s">
        <v>1778</v>
      </c>
      <c r="M174" t="s">
        <v>1881</v>
      </c>
      <c r="Q174" t="s">
        <v>1986</v>
      </c>
      <c r="U174" t="s">
        <v>2093</v>
      </c>
      <c r="Y174" t="s">
        <v>2205</v>
      </c>
      <c r="AC174" t="s">
        <v>2308</v>
      </c>
    </row>
    <row r="175" spans="1:29" x14ac:dyDescent="0.25">
      <c r="A175" t="s">
        <v>16</v>
      </c>
      <c r="E175" t="s">
        <v>28</v>
      </c>
      <c r="I175" t="s">
        <v>16</v>
      </c>
      <c r="M175" t="s">
        <v>16</v>
      </c>
      <c r="Q175" t="s">
        <v>16</v>
      </c>
      <c r="U175" t="s">
        <v>28</v>
      </c>
      <c r="Y175" t="s">
        <v>16</v>
      </c>
      <c r="AC175" t="s">
        <v>28</v>
      </c>
    </row>
    <row r="176" spans="1:29" x14ac:dyDescent="0.25">
      <c r="A176" t="s">
        <v>1570</v>
      </c>
      <c r="E176" t="s">
        <v>1674</v>
      </c>
      <c r="I176" t="s">
        <v>1779</v>
      </c>
      <c r="M176" t="s">
        <v>1882</v>
      </c>
      <c r="Q176" t="s">
        <v>1987</v>
      </c>
      <c r="U176" t="s">
        <v>2094</v>
      </c>
      <c r="Y176" t="s">
        <v>2206</v>
      </c>
      <c r="AC176" t="s">
        <v>2309</v>
      </c>
    </row>
    <row r="177" spans="1:29" x14ac:dyDescent="0.25">
      <c r="A177" t="s">
        <v>18</v>
      </c>
      <c r="E177" t="s">
        <v>30</v>
      </c>
      <c r="I177" t="s">
        <v>18</v>
      </c>
      <c r="M177" t="s">
        <v>18</v>
      </c>
      <c r="Q177" t="s">
        <v>18</v>
      </c>
      <c r="U177" t="s">
        <v>30</v>
      </c>
      <c r="Y177" t="s">
        <v>18</v>
      </c>
      <c r="AC177" t="s">
        <v>30</v>
      </c>
    </row>
    <row r="178" spans="1:29" x14ac:dyDescent="0.25">
      <c r="A178" t="s">
        <v>19</v>
      </c>
      <c r="E178" t="s">
        <v>31</v>
      </c>
      <c r="I178" t="s">
        <v>19</v>
      </c>
      <c r="M178" t="s">
        <v>19</v>
      </c>
      <c r="Q178" t="s">
        <v>19</v>
      </c>
      <c r="U178" t="s">
        <v>31</v>
      </c>
      <c r="Y178" t="s">
        <v>19</v>
      </c>
      <c r="AC178" t="s">
        <v>31</v>
      </c>
    </row>
    <row r="179" spans="1:29" x14ac:dyDescent="0.25">
      <c r="A179" t="s">
        <v>20</v>
      </c>
      <c r="E179" t="s">
        <v>32</v>
      </c>
      <c r="I179" t="s">
        <v>20</v>
      </c>
      <c r="M179" t="s">
        <v>20</v>
      </c>
      <c r="Q179" t="s">
        <v>20</v>
      </c>
      <c r="U179" t="s">
        <v>32</v>
      </c>
      <c r="Y179" t="s">
        <v>20</v>
      </c>
      <c r="AC179" t="s">
        <v>32</v>
      </c>
    </row>
    <row r="180" spans="1:29" x14ac:dyDescent="0.25">
      <c r="A180" t="s">
        <v>1571</v>
      </c>
      <c r="E180" t="s">
        <v>1675</v>
      </c>
      <c r="I180" t="s">
        <v>1780</v>
      </c>
      <c r="M180" t="s">
        <v>1883</v>
      </c>
      <c r="Q180" t="s">
        <v>1988</v>
      </c>
      <c r="U180" t="s">
        <v>2095</v>
      </c>
      <c r="Y180" t="s">
        <v>2207</v>
      </c>
      <c r="AC180" t="s">
        <v>2310</v>
      </c>
    </row>
    <row r="181" spans="1:29" x14ac:dyDescent="0.25">
      <c r="A181" t="s">
        <v>22</v>
      </c>
      <c r="E181" t="s">
        <v>34</v>
      </c>
      <c r="I181" t="s">
        <v>22</v>
      </c>
      <c r="M181" t="s">
        <v>22</v>
      </c>
      <c r="Q181" t="s">
        <v>22</v>
      </c>
      <c r="U181" t="s">
        <v>34</v>
      </c>
      <c r="Y181" t="s">
        <v>22</v>
      </c>
      <c r="AC181" t="s">
        <v>34</v>
      </c>
    </row>
    <row r="182" spans="1:29" x14ac:dyDescent="0.25">
      <c r="A182" t="s">
        <v>1572</v>
      </c>
      <c r="E182" t="s">
        <v>1676</v>
      </c>
      <c r="I182" t="s">
        <v>1781</v>
      </c>
      <c r="M182" t="s">
        <v>1884</v>
      </c>
      <c r="Q182" t="s">
        <v>1989</v>
      </c>
      <c r="U182" t="s">
        <v>2096</v>
      </c>
      <c r="Y182" t="s">
        <v>2208</v>
      </c>
      <c r="AC182" t="s">
        <v>2311</v>
      </c>
    </row>
    <row r="183" spans="1:29" x14ac:dyDescent="0.25">
      <c r="A183" t="s">
        <v>24</v>
      </c>
      <c r="E183" t="s">
        <v>36</v>
      </c>
      <c r="I183" t="s">
        <v>24</v>
      </c>
      <c r="M183" t="s">
        <v>24</v>
      </c>
      <c r="Q183" t="s">
        <v>24</v>
      </c>
      <c r="U183" t="s">
        <v>36</v>
      </c>
      <c r="Y183" t="s">
        <v>24</v>
      </c>
      <c r="AC183" t="s">
        <v>36</v>
      </c>
    </row>
    <row r="184" spans="1:29" x14ac:dyDescent="0.25">
      <c r="A184" t="s">
        <v>25</v>
      </c>
      <c r="E184" t="s">
        <v>37</v>
      </c>
      <c r="I184" t="s">
        <v>25</v>
      </c>
      <c r="M184" t="s">
        <v>25</v>
      </c>
      <c r="Q184" t="s">
        <v>25</v>
      </c>
      <c r="U184" t="s">
        <v>37</v>
      </c>
      <c r="Y184" t="s">
        <v>25</v>
      </c>
      <c r="AC184" t="s">
        <v>37</v>
      </c>
    </row>
    <row r="185" spans="1:29" x14ac:dyDescent="0.25">
      <c r="A185" t="s">
        <v>26</v>
      </c>
      <c r="E185" t="s">
        <v>38</v>
      </c>
      <c r="I185" t="s">
        <v>26</v>
      </c>
      <c r="M185" t="s">
        <v>26</v>
      </c>
      <c r="Q185" t="s">
        <v>26</v>
      </c>
      <c r="U185" t="s">
        <v>38</v>
      </c>
      <c r="Y185" t="s">
        <v>26</v>
      </c>
      <c r="AC185" t="s">
        <v>38</v>
      </c>
    </row>
    <row r="187" spans="1:29" x14ac:dyDescent="0.25">
      <c r="A187" t="s">
        <v>8</v>
      </c>
      <c r="E187" t="s">
        <v>14</v>
      </c>
      <c r="I187" t="s">
        <v>8</v>
      </c>
      <c r="M187" t="s">
        <v>8</v>
      </c>
      <c r="Q187" t="s">
        <v>8</v>
      </c>
      <c r="U187" t="s">
        <v>14</v>
      </c>
      <c r="Y187" t="s">
        <v>8</v>
      </c>
      <c r="AC187" t="s">
        <v>14</v>
      </c>
    </row>
    <row r="188" spans="1:29" x14ac:dyDescent="0.25">
      <c r="A188" t="s">
        <v>9</v>
      </c>
      <c r="E188" t="s">
        <v>15</v>
      </c>
      <c r="I188" t="s">
        <v>9</v>
      </c>
      <c r="M188" t="s">
        <v>9</v>
      </c>
      <c r="Q188" t="s">
        <v>9</v>
      </c>
      <c r="U188" t="s">
        <v>15</v>
      </c>
      <c r="Y188" t="s">
        <v>9</v>
      </c>
      <c r="AC188" t="s">
        <v>15</v>
      </c>
    </row>
    <row r="189" spans="1:29" x14ac:dyDescent="0.25">
      <c r="A189" t="s">
        <v>1573</v>
      </c>
      <c r="E189" t="s">
        <v>1677</v>
      </c>
      <c r="I189" t="s">
        <v>1782</v>
      </c>
      <c r="M189" t="s">
        <v>1885</v>
      </c>
      <c r="Q189" t="s">
        <v>1990</v>
      </c>
      <c r="U189" t="s">
        <v>2097</v>
      </c>
      <c r="Y189" t="s">
        <v>2209</v>
      </c>
      <c r="AC189" t="s">
        <v>2312</v>
      </c>
    </row>
    <row r="190" spans="1:29" x14ac:dyDescent="0.25">
      <c r="A190" t="s">
        <v>28</v>
      </c>
      <c r="E190" t="s">
        <v>16</v>
      </c>
      <c r="I190" t="s">
        <v>28</v>
      </c>
      <c r="M190" t="s">
        <v>28</v>
      </c>
      <c r="Q190" t="s">
        <v>28</v>
      </c>
      <c r="U190" t="s">
        <v>16</v>
      </c>
      <c r="Y190" t="s">
        <v>28</v>
      </c>
      <c r="AC190" t="s">
        <v>16</v>
      </c>
    </row>
    <row r="191" spans="1:29" x14ac:dyDescent="0.25">
      <c r="A191" t="s">
        <v>1574</v>
      </c>
      <c r="E191" t="s">
        <v>1586</v>
      </c>
      <c r="I191" t="s">
        <v>1624</v>
      </c>
      <c r="M191" t="s">
        <v>1886</v>
      </c>
      <c r="Q191" t="s">
        <v>1991</v>
      </c>
      <c r="U191" t="s">
        <v>2098</v>
      </c>
      <c r="Y191" t="s">
        <v>2210</v>
      </c>
      <c r="AC191" t="s">
        <v>2313</v>
      </c>
    </row>
    <row r="192" spans="1:29" x14ac:dyDescent="0.25">
      <c r="A192" t="s">
        <v>30</v>
      </c>
      <c r="E192" t="s">
        <v>18</v>
      </c>
      <c r="I192" t="s">
        <v>30</v>
      </c>
      <c r="M192" t="s">
        <v>30</v>
      </c>
      <c r="Q192" t="s">
        <v>30</v>
      </c>
      <c r="U192" t="s">
        <v>18</v>
      </c>
      <c r="Y192" t="s">
        <v>30</v>
      </c>
      <c r="AC192" t="s">
        <v>18</v>
      </c>
    </row>
    <row r="193" spans="1:29" x14ac:dyDescent="0.25">
      <c r="A193" t="s">
        <v>31</v>
      </c>
      <c r="E193" t="s">
        <v>19</v>
      </c>
      <c r="I193" t="s">
        <v>31</v>
      </c>
      <c r="M193" t="s">
        <v>31</v>
      </c>
      <c r="Q193" t="s">
        <v>31</v>
      </c>
      <c r="U193" t="s">
        <v>19</v>
      </c>
      <c r="Y193" t="s">
        <v>31</v>
      </c>
      <c r="AC193" t="s">
        <v>19</v>
      </c>
    </row>
    <row r="194" spans="1:29" x14ac:dyDescent="0.25">
      <c r="A194" t="s">
        <v>32</v>
      </c>
      <c r="E194" t="s">
        <v>20</v>
      </c>
      <c r="I194" t="s">
        <v>32</v>
      </c>
      <c r="M194" t="s">
        <v>32</v>
      </c>
      <c r="Q194" t="s">
        <v>32</v>
      </c>
      <c r="U194" t="s">
        <v>20</v>
      </c>
      <c r="Y194" t="s">
        <v>32</v>
      </c>
      <c r="AC194" t="s">
        <v>20</v>
      </c>
    </row>
    <row r="195" spans="1:29" x14ac:dyDescent="0.25">
      <c r="A195" t="s">
        <v>1575</v>
      </c>
      <c r="E195" t="s">
        <v>1678</v>
      </c>
      <c r="I195" t="s">
        <v>1783</v>
      </c>
      <c r="M195" t="s">
        <v>1887</v>
      </c>
      <c r="Q195" t="s">
        <v>1992</v>
      </c>
      <c r="U195" t="s">
        <v>2099</v>
      </c>
      <c r="Y195" t="s">
        <v>2211</v>
      </c>
      <c r="AC195" t="s">
        <v>2314</v>
      </c>
    </row>
    <row r="196" spans="1:29" x14ac:dyDescent="0.25">
      <c r="A196" t="s">
        <v>34</v>
      </c>
      <c r="E196" t="s">
        <v>22</v>
      </c>
      <c r="I196" t="s">
        <v>34</v>
      </c>
      <c r="M196" t="s">
        <v>34</v>
      </c>
      <c r="Q196" t="s">
        <v>34</v>
      </c>
      <c r="U196" t="s">
        <v>22</v>
      </c>
      <c r="Y196" t="s">
        <v>34</v>
      </c>
      <c r="AC196" t="s">
        <v>22</v>
      </c>
    </row>
    <row r="197" spans="1:29" x14ac:dyDescent="0.25">
      <c r="A197" t="s">
        <v>1576</v>
      </c>
      <c r="E197" t="s">
        <v>1679</v>
      </c>
      <c r="I197" t="s">
        <v>1784</v>
      </c>
      <c r="M197" t="s">
        <v>1888</v>
      </c>
      <c r="Q197" t="s">
        <v>1993</v>
      </c>
      <c r="U197" t="s">
        <v>2100</v>
      </c>
      <c r="Y197" t="s">
        <v>2212</v>
      </c>
      <c r="AC197" t="s">
        <v>1041</v>
      </c>
    </row>
    <row r="198" spans="1:29" x14ac:dyDescent="0.25">
      <c r="A198" t="s">
        <v>36</v>
      </c>
      <c r="E198" t="s">
        <v>24</v>
      </c>
      <c r="I198" t="s">
        <v>36</v>
      </c>
      <c r="M198" t="s">
        <v>36</v>
      </c>
      <c r="Q198" t="s">
        <v>36</v>
      </c>
      <c r="U198" t="s">
        <v>24</v>
      </c>
      <c r="Y198" t="s">
        <v>36</v>
      </c>
      <c r="AC198" t="s">
        <v>24</v>
      </c>
    </row>
    <row r="199" spans="1:29" x14ac:dyDescent="0.25">
      <c r="A199" t="s">
        <v>37</v>
      </c>
      <c r="E199" t="s">
        <v>25</v>
      </c>
      <c r="I199" t="s">
        <v>37</v>
      </c>
      <c r="M199" t="s">
        <v>37</v>
      </c>
      <c r="Q199" t="s">
        <v>37</v>
      </c>
      <c r="U199" t="s">
        <v>25</v>
      </c>
      <c r="Y199" t="s">
        <v>37</v>
      </c>
      <c r="AC199" t="s">
        <v>25</v>
      </c>
    </row>
    <row r="200" spans="1:29" x14ac:dyDescent="0.25">
      <c r="A200" t="s">
        <v>38</v>
      </c>
      <c r="E200" t="s">
        <v>26</v>
      </c>
      <c r="I200" t="s">
        <v>38</v>
      </c>
      <c r="M200" t="s">
        <v>38</v>
      </c>
      <c r="Q200" t="s">
        <v>38</v>
      </c>
      <c r="U200" t="s">
        <v>26</v>
      </c>
      <c r="Y200" t="s">
        <v>38</v>
      </c>
      <c r="AC200" t="s">
        <v>26</v>
      </c>
    </row>
    <row r="202" spans="1:29" x14ac:dyDescent="0.25">
      <c r="A202" t="s">
        <v>14</v>
      </c>
      <c r="E202" t="s">
        <v>8</v>
      </c>
      <c r="I202" t="s">
        <v>14</v>
      </c>
      <c r="M202" t="s">
        <v>14</v>
      </c>
      <c r="Q202" t="s">
        <v>14</v>
      </c>
      <c r="U202" t="s">
        <v>8</v>
      </c>
      <c r="Y202" t="s">
        <v>14</v>
      </c>
      <c r="AC202" t="s">
        <v>8</v>
      </c>
    </row>
    <row r="203" spans="1:29" x14ac:dyDescent="0.25">
      <c r="A203" t="s">
        <v>15</v>
      </c>
      <c r="E203" t="s">
        <v>9</v>
      </c>
      <c r="I203" t="s">
        <v>15</v>
      </c>
      <c r="M203" t="s">
        <v>15</v>
      </c>
      <c r="Q203" t="s">
        <v>15</v>
      </c>
      <c r="U203" t="s">
        <v>9</v>
      </c>
      <c r="Y203" t="s">
        <v>15</v>
      </c>
      <c r="AC203" t="s">
        <v>9</v>
      </c>
    </row>
    <row r="204" spans="1:29" x14ac:dyDescent="0.25">
      <c r="A204" t="s">
        <v>1577</v>
      </c>
      <c r="E204" t="s">
        <v>1680</v>
      </c>
      <c r="I204" t="s">
        <v>1785</v>
      </c>
      <c r="M204" t="s">
        <v>1889</v>
      </c>
      <c r="Q204" t="s">
        <v>1994</v>
      </c>
      <c r="U204" t="s">
        <v>2101</v>
      </c>
      <c r="Y204" t="s">
        <v>2213</v>
      </c>
      <c r="AC204" t="s">
        <v>2315</v>
      </c>
    </row>
    <row r="205" spans="1:29" x14ac:dyDescent="0.25">
      <c r="A205" t="s">
        <v>16</v>
      </c>
      <c r="E205" t="s">
        <v>28</v>
      </c>
      <c r="I205" t="s">
        <v>16</v>
      </c>
      <c r="M205" t="s">
        <v>16</v>
      </c>
      <c r="Q205" t="s">
        <v>16</v>
      </c>
      <c r="U205" t="s">
        <v>28</v>
      </c>
      <c r="Y205" t="s">
        <v>16</v>
      </c>
      <c r="AC205" t="s">
        <v>28</v>
      </c>
    </row>
    <row r="206" spans="1:29" x14ac:dyDescent="0.25">
      <c r="A206" t="s">
        <v>1578</v>
      </c>
      <c r="E206" t="s">
        <v>1582</v>
      </c>
      <c r="I206" t="s">
        <v>449</v>
      </c>
      <c r="M206" t="s">
        <v>1746</v>
      </c>
      <c r="Q206" t="s">
        <v>1995</v>
      </c>
      <c r="U206" t="s">
        <v>2102</v>
      </c>
      <c r="Y206" t="s">
        <v>2214</v>
      </c>
      <c r="AC206" t="s">
        <v>2309</v>
      </c>
    </row>
    <row r="207" spans="1:29" x14ac:dyDescent="0.25">
      <c r="A207" t="s">
        <v>18</v>
      </c>
      <c r="E207" t="s">
        <v>30</v>
      </c>
      <c r="I207" t="s">
        <v>18</v>
      </c>
      <c r="M207" t="s">
        <v>18</v>
      </c>
      <c r="Q207" t="s">
        <v>18</v>
      </c>
      <c r="U207" t="s">
        <v>30</v>
      </c>
      <c r="Y207" t="s">
        <v>18</v>
      </c>
      <c r="AC207" t="s">
        <v>30</v>
      </c>
    </row>
    <row r="208" spans="1:29" x14ac:dyDescent="0.25">
      <c r="A208" t="s">
        <v>19</v>
      </c>
      <c r="E208" t="s">
        <v>31</v>
      </c>
      <c r="I208" t="s">
        <v>19</v>
      </c>
      <c r="M208" t="s">
        <v>19</v>
      </c>
      <c r="Q208" t="s">
        <v>19</v>
      </c>
      <c r="U208" t="s">
        <v>31</v>
      </c>
      <c r="Y208" t="s">
        <v>19</v>
      </c>
      <c r="AC208" t="s">
        <v>31</v>
      </c>
    </row>
    <row r="209" spans="1:29" x14ac:dyDescent="0.25">
      <c r="A209" t="s">
        <v>20</v>
      </c>
      <c r="E209" t="s">
        <v>32</v>
      </c>
      <c r="I209" t="s">
        <v>20</v>
      </c>
      <c r="M209" t="s">
        <v>20</v>
      </c>
      <c r="Q209" t="s">
        <v>20</v>
      </c>
      <c r="U209" t="s">
        <v>32</v>
      </c>
      <c r="Y209" t="s">
        <v>20</v>
      </c>
      <c r="AC209" t="s">
        <v>32</v>
      </c>
    </row>
    <row r="210" spans="1:29" x14ac:dyDescent="0.25">
      <c r="A210" t="s">
        <v>1579</v>
      </c>
      <c r="E210" t="s">
        <v>1681</v>
      </c>
      <c r="I210" t="s">
        <v>1786</v>
      </c>
      <c r="M210" t="s">
        <v>1890</v>
      </c>
      <c r="Q210" t="s">
        <v>1996</v>
      </c>
      <c r="U210" t="s">
        <v>1567</v>
      </c>
      <c r="Y210" t="s">
        <v>2215</v>
      </c>
      <c r="AC210" t="s">
        <v>2316</v>
      </c>
    </row>
    <row r="211" spans="1:29" x14ac:dyDescent="0.25">
      <c r="A211" t="s">
        <v>22</v>
      </c>
      <c r="E211" t="s">
        <v>34</v>
      </c>
      <c r="I211" t="s">
        <v>22</v>
      </c>
      <c r="M211" t="s">
        <v>22</v>
      </c>
      <c r="Q211" t="s">
        <v>22</v>
      </c>
      <c r="U211" t="s">
        <v>34</v>
      </c>
      <c r="Y211" t="s">
        <v>22</v>
      </c>
      <c r="AC211" t="s">
        <v>34</v>
      </c>
    </row>
    <row r="212" spans="1:29" x14ac:dyDescent="0.25">
      <c r="A212" t="s">
        <v>1580</v>
      </c>
      <c r="E212" t="s">
        <v>1682</v>
      </c>
      <c r="I212" t="s">
        <v>1787</v>
      </c>
      <c r="M212" t="s">
        <v>1891</v>
      </c>
      <c r="Q212" t="s">
        <v>1997</v>
      </c>
      <c r="U212" t="s">
        <v>2103</v>
      </c>
      <c r="Y212" t="s">
        <v>372</v>
      </c>
      <c r="AC212" t="s">
        <v>2317</v>
      </c>
    </row>
    <row r="213" spans="1:29" x14ac:dyDescent="0.25">
      <c r="A213" t="s">
        <v>24</v>
      </c>
      <c r="E213" t="s">
        <v>36</v>
      </c>
      <c r="I213" t="s">
        <v>24</v>
      </c>
      <c r="M213" t="s">
        <v>24</v>
      </c>
      <c r="Q213" t="s">
        <v>24</v>
      </c>
      <c r="U213" t="s">
        <v>36</v>
      </c>
      <c r="Y213" t="s">
        <v>24</v>
      </c>
      <c r="AC213" t="s">
        <v>36</v>
      </c>
    </row>
    <row r="214" spans="1:29" x14ac:dyDescent="0.25">
      <c r="A214" t="s">
        <v>25</v>
      </c>
      <c r="E214" t="s">
        <v>37</v>
      </c>
      <c r="I214" t="s">
        <v>25</v>
      </c>
      <c r="M214" t="s">
        <v>25</v>
      </c>
      <c r="Q214" t="s">
        <v>25</v>
      </c>
      <c r="U214" t="s">
        <v>37</v>
      </c>
      <c r="Y214" t="s">
        <v>25</v>
      </c>
      <c r="AC214" t="s">
        <v>37</v>
      </c>
    </row>
    <row r="215" spans="1:29" x14ac:dyDescent="0.25">
      <c r="A215" t="s">
        <v>26</v>
      </c>
      <c r="E215" t="s">
        <v>38</v>
      </c>
      <c r="I215" t="s">
        <v>26</v>
      </c>
      <c r="M215" t="s">
        <v>26</v>
      </c>
      <c r="Q215" t="s">
        <v>26</v>
      </c>
      <c r="U215" t="s">
        <v>38</v>
      </c>
      <c r="Y215" t="s">
        <v>26</v>
      </c>
      <c r="AC215" t="s">
        <v>38</v>
      </c>
    </row>
    <row r="217" spans="1:29" x14ac:dyDescent="0.25">
      <c r="A217" t="s">
        <v>8</v>
      </c>
      <c r="E217" t="s">
        <v>14</v>
      </c>
      <c r="I217" t="s">
        <v>8</v>
      </c>
      <c r="M217" t="s">
        <v>8</v>
      </c>
      <c r="Q217" t="s">
        <v>8</v>
      </c>
      <c r="U217" t="s">
        <v>14</v>
      </c>
      <c r="Y217" t="s">
        <v>8</v>
      </c>
      <c r="AC217" t="s">
        <v>14</v>
      </c>
    </row>
    <row r="218" spans="1:29" x14ac:dyDescent="0.25">
      <c r="A218" t="s">
        <v>9</v>
      </c>
      <c r="E218" t="s">
        <v>15</v>
      </c>
      <c r="I218" t="s">
        <v>9</v>
      </c>
      <c r="M218" t="s">
        <v>9</v>
      </c>
      <c r="Q218" t="s">
        <v>9</v>
      </c>
      <c r="U218" t="s">
        <v>15</v>
      </c>
      <c r="Y218" t="s">
        <v>9</v>
      </c>
      <c r="AC218" t="s">
        <v>15</v>
      </c>
    </row>
    <row r="219" spans="1:29" x14ac:dyDescent="0.25">
      <c r="A219" t="s">
        <v>1581</v>
      </c>
      <c r="E219" t="s">
        <v>1683</v>
      </c>
      <c r="I219" t="s">
        <v>1788</v>
      </c>
      <c r="M219" t="s">
        <v>1892</v>
      </c>
      <c r="Q219" t="s">
        <v>1998</v>
      </c>
      <c r="U219" t="s">
        <v>2104</v>
      </c>
      <c r="Y219" t="s">
        <v>2216</v>
      </c>
      <c r="AC219" t="s">
        <v>2318</v>
      </c>
    </row>
    <row r="220" spans="1:29" x14ac:dyDescent="0.25">
      <c r="A220" t="s">
        <v>28</v>
      </c>
      <c r="E220" t="s">
        <v>16</v>
      </c>
      <c r="I220" t="s">
        <v>28</v>
      </c>
      <c r="M220" t="s">
        <v>28</v>
      </c>
      <c r="Q220" t="s">
        <v>28</v>
      </c>
      <c r="U220" t="s">
        <v>16</v>
      </c>
      <c r="Y220" t="s">
        <v>28</v>
      </c>
      <c r="AC220" t="s">
        <v>16</v>
      </c>
    </row>
    <row r="221" spans="1:29" x14ac:dyDescent="0.25">
      <c r="A221" t="s">
        <v>1582</v>
      </c>
      <c r="E221" t="s">
        <v>1684</v>
      </c>
      <c r="I221" t="s">
        <v>1789</v>
      </c>
      <c r="M221" t="s">
        <v>1166</v>
      </c>
      <c r="Q221" t="s">
        <v>1999</v>
      </c>
      <c r="U221" t="s">
        <v>2105</v>
      </c>
      <c r="Y221" t="s">
        <v>2217</v>
      </c>
      <c r="AC221" t="s">
        <v>2319</v>
      </c>
    </row>
    <row r="222" spans="1:29" x14ac:dyDescent="0.25">
      <c r="A222" t="s">
        <v>30</v>
      </c>
      <c r="E222" t="s">
        <v>18</v>
      </c>
      <c r="I222" t="s">
        <v>30</v>
      </c>
      <c r="M222" t="s">
        <v>30</v>
      </c>
      <c r="Q222" t="s">
        <v>30</v>
      </c>
      <c r="U222" t="s">
        <v>18</v>
      </c>
      <c r="Y222" t="s">
        <v>30</v>
      </c>
      <c r="AC222" t="s">
        <v>18</v>
      </c>
    </row>
    <row r="223" spans="1:29" x14ac:dyDescent="0.25">
      <c r="A223" t="s">
        <v>31</v>
      </c>
      <c r="E223" t="s">
        <v>19</v>
      </c>
      <c r="I223" t="s">
        <v>31</v>
      </c>
      <c r="M223" t="s">
        <v>31</v>
      </c>
      <c r="Q223" t="s">
        <v>31</v>
      </c>
      <c r="U223" t="s">
        <v>19</v>
      </c>
      <c r="Y223" t="s">
        <v>31</v>
      </c>
      <c r="AC223" t="s">
        <v>19</v>
      </c>
    </row>
    <row r="224" spans="1:29" x14ac:dyDescent="0.25">
      <c r="A224" t="s">
        <v>32</v>
      </c>
      <c r="E224" t="s">
        <v>20</v>
      </c>
      <c r="I224" t="s">
        <v>32</v>
      </c>
      <c r="M224" t="s">
        <v>32</v>
      </c>
      <c r="Q224" t="s">
        <v>32</v>
      </c>
      <c r="U224" t="s">
        <v>20</v>
      </c>
      <c r="Y224" t="s">
        <v>32</v>
      </c>
      <c r="AC224" t="s">
        <v>20</v>
      </c>
    </row>
    <row r="225" spans="1:29" x14ac:dyDescent="0.25">
      <c r="A225" t="s">
        <v>1583</v>
      </c>
      <c r="E225" t="s">
        <v>1685</v>
      </c>
      <c r="I225" t="s">
        <v>1790</v>
      </c>
      <c r="M225" t="s">
        <v>1893</v>
      </c>
      <c r="Q225" t="s">
        <v>2000</v>
      </c>
      <c r="U225" t="s">
        <v>2106</v>
      </c>
      <c r="Y225" t="s">
        <v>2218</v>
      </c>
      <c r="AC225" t="s">
        <v>2320</v>
      </c>
    </row>
    <row r="226" spans="1:29" x14ac:dyDescent="0.25">
      <c r="A226" t="s">
        <v>34</v>
      </c>
      <c r="E226" t="s">
        <v>22</v>
      </c>
      <c r="I226" t="s">
        <v>34</v>
      </c>
      <c r="M226" t="s">
        <v>34</v>
      </c>
      <c r="Q226" t="s">
        <v>34</v>
      </c>
      <c r="U226" t="s">
        <v>22</v>
      </c>
      <c r="Y226" t="s">
        <v>34</v>
      </c>
      <c r="AC226" t="s">
        <v>22</v>
      </c>
    </row>
    <row r="227" spans="1:29" x14ac:dyDescent="0.25">
      <c r="A227" t="s">
        <v>1584</v>
      </c>
      <c r="E227" t="s">
        <v>1686</v>
      </c>
      <c r="I227" t="s">
        <v>1791</v>
      </c>
      <c r="M227" t="s">
        <v>1406</v>
      </c>
      <c r="Q227" t="s">
        <v>2001</v>
      </c>
      <c r="U227" t="s">
        <v>2107</v>
      </c>
      <c r="Y227" t="s">
        <v>2219</v>
      </c>
      <c r="AC227" t="s">
        <v>2321</v>
      </c>
    </row>
    <row r="228" spans="1:29" x14ac:dyDescent="0.25">
      <c r="A228" t="s">
        <v>36</v>
      </c>
      <c r="E228" t="s">
        <v>24</v>
      </c>
      <c r="I228" t="s">
        <v>36</v>
      </c>
      <c r="M228" t="s">
        <v>36</v>
      </c>
      <c r="Q228" t="s">
        <v>36</v>
      </c>
      <c r="U228" t="s">
        <v>24</v>
      </c>
      <c r="Y228" t="s">
        <v>36</v>
      </c>
      <c r="AC228" t="s">
        <v>24</v>
      </c>
    </row>
    <row r="229" spans="1:29" x14ac:dyDescent="0.25">
      <c r="A229" t="s">
        <v>37</v>
      </c>
      <c r="E229" t="s">
        <v>25</v>
      </c>
      <c r="I229" t="s">
        <v>37</v>
      </c>
      <c r="M229" t="s">
        <v>37</v>
      </c>
      <c r="Q229" t="s">
        <v>37</v>
      </c>
      <c r="U229" t="s">
        <v>25</v>
      </c>
      <c r="Y229" t="s">
        <v>37</v>
      </c>
      <c r="AC229" t="s">
        <v>25</v>
      </c>
    </row>
    <row r="230" spans="1:29" x14ac:dyDescent="0.25">
      <c r="A230" t="s">
        <v>38</v>
      </c>
      <c r="E230" t="s">
        <v>26</v>
      </c>
      <c r="I230" t="s">
        <v>38</v>
      </c>
      <c r="M230" t="s">
        <v>38</v>
      </c>
      <c r="Q230" t="s">
        <v>38</v>
      </c>
      <c r="U230" t="s">
        <v>26</v>
      </c>
      <c r="Y230" t="s">
        <v>38</v>
      </c>
      <c r="AC230" t="s">
        <v>26</v>
      </c>
    </row>
    <row r="232" spans="1:29" x14ac:dyDescent="0.25">
      <c r="A232" t="s">
        <v>14</v>
      </c>
      <c r="E232" t="s">
        <v>8</v>
      </c>
      <c r="I232" t="s">
        <v>14</v>
      </c>
      <c r="M232" t="s">
        <v>14</v>
      </c>
      <c r="Q232" t="s">
        <v>14</v>
      </c>
      <c r="U232" t="s">
        <v>8</v>
      </c>
      <c r="Y232" t="s">
        <v>14</v>
      </c>
      <c r="AC232" t="s">
        <v>8</v>
      </c>
    </row>
    <row r="233" spans="1:29" x14ac:dyDescent="0.25">
      <c r="A233" t="s">
        <v>15</v>
      </c>
      <c r="E233" t="s">
        <v>9</v>
      </c>
      <c r="I233" t="s">
        <v>15</v>
      </c>
      <c r="M233" t="s">
        <v>15</v>
      </c>
      <c r="Q233" t="s">
        <v>15</v>
      </c>
      <c r="U233" t="s">
        <v>9</v>
      </c>
      <c r="Y233" t="s">
        <v>15</v>
      </c>
      <c r="AC233" t="s">
        <v>9</v>
      </c>
    </row>
    <row r="234" spans="1:29" x14ac:dyDescent="0.25">
      <c r="A234" t="s">
        <v>1585</v>
      </c>
      <c r="E234" t="s">
        <v>1687</v>
      </c>
      <c r="I234" t="s">
        <v>1792</v>
      </c>
      <c r="M234" t="s">
        <v>1894</v>
      </c>
      <c r="Q234" t="s">
        <v>2002</v>
      </c>
      <c r="U234" t="s">
        <v>2108</v>
      </c>
      <c r="Y234" t="s">
        <v>2220</v>
      </c>
      <c r="AC234" t="s">
        <v>2322</v>
      </c>
    </row>
    <row r="235" spans="1:29" x14ac:dyDescent="0.25">
      <c r="A235" t="s">
        <v>16</v>
      </c>
      <c r="E235" t="s">
        <v>28</v>
      </c>
      <c r="I235" t="s">
        <v>16</v>
      </c>
      <c r="M235" t="s">
        <v>16</v>
      </c>
      <c r="Q235" t="s">
        <v>16</v>
      </c>
      <c r="U235" t="s">
        <v>28</v>
      </c>
      <c r="Y235" t="s">
        <v>16</v>
      </c>
      <c r="AC235" t="s">
        <v>28</v>
      </c>
    </row>
    <row r="236" spans="1:29" x14ac:dyDescent="0.25">
      <c r="A236" t="s">
        <v>1586</v>
      </c>
      <c r="E236" t="s">
        <v>1688</v>
      </c>
      <c r="I236" t="s">
        <v>1793</v>
      </c>
      <c r="M236" t="s">
        <v>1895</v>
      </c>
      <c r="Q236" t="s">
        <v>2003</v>
      </c>
      <c r="U236" t="s">
        <v>2109</v>
      </c>
      <c r="Y236" t="s">
        <v>2221</v>
      </c>
      <c r="AC236" t="s">
        <v>2309</v>
      </c>
    </row>
    <row r="237" spans="1:29" x14ac:dyDescent="0.25">
      <c r="A237" t="s">
        <v>18</v>
      </c>
      <c r="E237" t="s">
        <v>30</v>
      </c>
      <c r="I237" t="s">
        <v>18</v>
      </c>
      <c r="M237" t="s">
        <v>18</v>
      </c>
      <c r="Q237" t="s">
        <v>18</v>
      </c>
      <c r="U237" t="s">
        <v>30</v>
      </c>
      <c r="Y237" t="s">
        <v>18</v>
      </c>
      <c r="AC237" t="s">
        <v>30</v>
      </c>
    </row>
    <row r="238" spans="1:29" x14ac:dyDescent="0.25">
      <c r="A238" t="s">
        <v>19</v>
      </c>
      <c r="E238" t="s">
        <v>31</v>
      </c>
      <c r="I238" t="s">
        <v>19</v>
      </c>
      <c r="M238" t="s">
        <v>19</v>
      </c>
      <c r="Q238" t="s">
        <v>19</v>
      </c>
      <c r="U238" t="s">
        <v>31</v>
      </c>
      <c r="Y238" t="s">
        <v>19</v>
      </c>
      <c r="AC238" t="s">
        <v>31</v>
      </c>
    </row>
    <row r="239" spans="1:29" x14ac:dyDescent="0.25">
      <c r="A239" t="s">
        <v>20</v>
      </c>
      <c r="E239" t="s">
        <v>32</v>
      </c>
      <c r="I239" t="s">
        <v>20</v>
      </c>
      <c r="M239" t="s">
        <v>20</v>
      </c>
      <c r="Q239" t="s">
        <v>20</v>
      </c>
      <c r="U239" t="s">
        <v>32</v>
      </c>
      <c r="Y239" t="s">
        <v>20</v>
      </c>
      <c r="AC239" t="s">
        <v>32</v>
      </c>
    </row>
    <row r="240" spans="1:29" x14ac:dyDescent="0.25">
      <c r="A240" t="s">
        <v>1587</v>
      </c>
      <c r="E240" t="s">
        <v>1689</v>
      </c>
      <c r="I240" t="s">
        <v>1794</v>
      </c>
      <c r="M240" t="s">
        <v>1896</v>
      </c>
      <c r="Q240" t="s">
        <v>2004</v>
      </c>
      <c r="U240" t="s">
        <v>1703</v>
      </c>
      <c r="Y240" t="s">
        <v>1641</v>
      </c>
      <c r="AC240" t="s">
        <v>2323</v>
      </c>
    </row>
    <row r="241" spans="1:29" x14ac:dyDescent="0.25">
      <c r="A241" t="s">
        <v>22</v>
      </c>
      <c r="E241" t="s">
        <v>34</v>
      </c>
      <c r="I241" t="s">
        <v>22</v>
      </c>
      <c r="M241" t="s">
        <v>22</v>
      </c>
      <c r="Q241" t="s">
        <v>22</v>
      </c>
      <c r="U241" t="s">
        <v>34</v>
      </c>
      <c r="Y241" t="s">
        <v>22</v>
      </c>
      <c r="AC241" t="s">
        <v>34</v>
      </c>
    </row>
    <row r="242" spans="1:29" x14ac:dyDescent="0.25">
      <c r="A242" t="s">
        <v>1588</v>
      </c>
      <c r="E242" t="s">
        <v>1690</v>
      </c>
      <c r="I242" t="s">
        <v>1795</v>
      </c>
      <c r="M242" t="s">
        <v>1897</v>
      </c>
      <c r="Q242" t="s">
        <v>2005</v>
      </c>
      <c r="U242" t="s">
        <v>1704</v>
      </c>
      <c r="Y242" t="s">
        <v>1642</v>
      </c>
      <c r="AC242" t="s">
        <v>2324</v>
      </c>
    </row>
    <row r="243" spans="1:29" x14ac:dyDescent="0.25">
      <c r="A243" t="s">
        <v>24</v>
      </c>
      <c r="E243" t="s">
        <v>36</v>
      </c>
      <c r="I243" t="s">
        <v>24</v>
      </c>
      <c r="M243" t="s">
        <v>24</v>
      </c>
      <c r="Q243" t="s">
        <v>24</v>
      </c>
      <c r="U243" t="s">
        <v>36</v>
      </c>
      <c r="Y243" t="s">
        <v>24</v>
      </c>
      <c r="AC243" t="s">
        <v>36</v>
      </c>
    </row>
    <row r="244" spans="1:29" x14ac:dyDescent="0.25">
      <c r="A244" t="s">
        <v>25</v>
      </c>
      <c r="E244" t="s">
        <v>37</v>
      </c>
      <c r="I244" t="s">
        <v>25</v>
      </c>
      <c r="M244" t="s">
        <v>25</v>
      </c>
      <c r="Q244" t="s">
        <v>25</v>
      </c>
      <c r="U244" t="s">
        <v>37</v>
      </c>
      <c r="Y244" t="s">
        <v>25</v>
      </c>
      <c r="AC244" t="s">
        <v>37</v>
      </c>
    </row>
    <row r="245" spans="1:29" x14ac:dyDescent="0.25">
      <c r="A245" t="s">
        <v>26</v>
      </c>
      <c r="E245" t="s">
        <v>38</v>
      </c>
      <c r="I245" t="s">
        <v>26</v>
      </c>
      <c r="M245" t="s">
        <v>26</v>
      </c>
      <c r="Q245" t="s">
        <v>26</v>
      </c>
      <c r="U245" t="s">
        <v>38</v>
      </c>
      <c r="Y245" t="s">
        <v>26</v>
      </c>
      <c r="AC245" t="s">
        <v>38</v>
      </c>
    </row>
    <row r="247" spans="1:29" x14ac:dyDescent="0.25">
      <c r="A247" t="s">
        <v>8</v>
      </c>
      <c r="E247" t="s">
        <v>14</v>
      </c>
      <c r="I247" t="s">
        <v>8</v>
      </c>
      <c r="M247" t="s">
        <v>8</v>
      </c>
      <c r="Q247" t="s">
        <v>8</v>
      </c>
      <c r="U247" t="s">
        <v>14</v>
      </c>
      <c r="Y247" t="s">
        <v>8</v>
      </c>
      <c r="AC247" t="s">
        <v>14</v>
      </c>
    </row>
    <row r="248" spans="1:29" x14ac:dyDescent="0.25">
      <c r="A248" t="s">
        <v>9</v>
      </c>
      <c r="E248" t="s">
        <v>15</v>
      </c>
      <c r="I248" t="s">
        <v>9</v>
      </c>
      <c r="M248" t="s">
        <v>9</v>
      </c>
      <c r="Q248" t="s">
        <v>9</v>
      </c>
      <c r="U248" t="s">
        <v>15</v>
      </c>
      <c r="Y248" t="s">
        <v>9</v>
      </c>
      <c r="AC248" t="s">
        <v>15</v>
      </c>
    </row>
    <row r="249" spans="1:29" x14ac:dyDescent="0.25">
      <c r="A249" t="s">
        <v>1589</v>
      </c>
      <c r="E249" t="s">
        <v>1691</v>
      </c>
      <c r="I249" t="s">
        <v>1796</v>
      </c>
      <c r="M249" t="s">
        <v>1898</v>
      </c>
      <c r="Q249" t="s">
        <v>2006</v>
      </c>
      <c r="U249" t="s">
        <v>2110</v>
      </c>
      <c r="Y249" t="s">
        <v>2222</v>
      </c>
      <c r="AC249" t="s">
        <v>2325</v>
      </c>
    </row>
    <row r="250" spans="1:29" x14ac:dyDescent="0.25">
      <c r="A250" t="s">
        <v>28</v>
      </c>
      <c r="E250" t="s">
        <v>16</v>
      </c>
      <c r="I250" t="s">
        <v>28</v>
      </c>
      <c r="M250" t="s">
        <v>28</v>
      </c>
      <c r="Q250" t="s">
        <v>28</v>
      </c>
      <c r="U250" t="s">
        <v>16</v>
      </c>
      <c r="Y250" t="s">
        <v>28</v>
      </c>
      <c r="AC250" t="s">
        <v>16</v>
      </c>
    </row>
    <row r="251" spans="1:29" x14ac:dyDescent="0.25">
      <c r="A251" t="s">
        <v>1590</v>
      </c>
      <c r="E251" t="s">
        <v>1546</v>
      </c>
      <c r="I251" t="s">
        <v>1574</v>
      </c>
      <c r="M251" t="s">
        <v>1899</v>
      </c>
      <c r="Q251" t="s">
        <v>2007</v>
      </c>
      <c r="U251" t="s">
        <v>2111</v>
      </c>
      <c r="Y251" t="s">
        <v>2223</v>
      </c>
      <c r="AC251" t="s">
        <v>2326</v>
      </c>
    </row>
    <row r="252" spans="1:29" x14ac:dyDescent="0.25">
      <c r="A252" t="s">
        <v>30</v>
      </c>
      <c r="E252" t="s">
        <v>18</v>
      </c>
      <c r="I252" t="s">
        <v>30</v>
      </c>
      <c r="M252" t="s">
        <v>30</v>
      </c>
      <c r="Q252" t="s">
        <v>30</v>
      </c>
      <c r="U252" t="s">
        <v>18</v>
      </c>
      <c r="Y252" t="s">
        <v>30</v>
      </c>
      <c r="AC252" t="s">
        <v>18</v>
      </c>
    </row>
    <row r="253" spans="1:29" x14ac:dyDescent="0.25">
      <c r="A253" t="s">
        <v>31</v>
      </c>
      <c r="E253" t="s">
        <v>19</v>
      </c>
      <c r="I253" t="s">
        <v>31</v>
      </c>
      <c r="M253" t="s">
        <v>31</v>
      </c>
      <c r="Q253" t="s">
        <v>31</v>
      </c>
      <c r="U253" t="s">
        <v>19</v>
      </c>
      <c r="Y253" t="s">
        <v>31</v>
      </c>
      <c r="AC253" t="s">
        <v>19</v>
      </c>
    </row>
    <row r="254" spans="1:29" x14ac:dyDescent="0.25">
      <c r="A254" t="s">
        <v>32</v>
      </c>
      <c r="E254" t="s">
        <v>20</v>
      </c>
      <c r="I254" t="s">
        <v>32</v>
      </c>
      <c r="M254" t="s">
        <v>32</v>
      </c>
      <c r="Q254" t="s">
        <v>32</v>
      </c>
      <c r="U254" t="s">
        <v>20</v>
      </c>
      <c r="Y254" t="s">
        <v>32</v>
      </c>
      <c r="AC254" t="s">
        <v>20</v>
      </c>
    </row>
    <row r="255" spans="1:29" x14ac:dyDescent="0.25">
      <c r="A255" t="s">
        <v>1591</v>
      </c>
      <c r="E255" t="s">
        <v>1692</v>
      </c>
      <c r="I255" t="s">
        <v>1797</v>
      </c>
      <c r="M255" t="s">
        <v>1900</v>
      </c>
      <c r="Q255" t="s">
        <v>2008</v>
      </c>
      <c r="U255" t="s">
        <v>2112</v>
      </c>
      <c r="Y255" t="s">
        <v>2224</v>
      </c>
      <c r="AC255" t="s">
        <v>2327</v>
      </c>
    </row>
    <row r="256" spans="1:29" x14ac:dyDescent="0.25">
      <c r="A256" t="s">
        <v>34</v>
      </c>
      <c r="E256" t="s">
        <v>22</v>
      </c>
      <c r="I256" t="s">
        <v>34</v>
      </c>
      <c r="M256" t="s">
        <v>34</v>
      </c>
      <c r="Q256" t="s">
        <v>34</v>
      </c>
      <c r="U256" t="s">
        <v>22</v>
      </c>
      <c r="Y256" t="s">
        <v>34</v>
      </c>
      <c r="AC256" t="s">
        <v>22</v>
      </c>
    </row>
    <row r="257" spans="1:29" x14ac:dyDescent="0.25">
      <c r="A257" t="s">
        <v>1592</v>
      </c>
      <c r="E257" t="s">
        <v>1693</v>
      </c>
      <c r="I257" t="s">
        <v>1798</v>
      </c>
      <c r="M257" t="s">
        <v>1901</v>
      </c>
      <c r="Q257" t="s">
        <v>915</v>
      </c>
      <c r="U257" t="s">
        <v>2113</v>
      </c>
      <c r="Y257" t="s">
        <v>2225</v>
      </c>
      <c r="AC257" t="s">
        <v>2328</v>
      </c>
    </row>
    <row r="258" spans="1:29" x14ac:dyDescent="0.25">
      <c r="A258" t="s">
        <v>36</v>
      </c>
      <c r="E258" t="s">
        <v>24</v>
      </c>
      <c r="I258" t="s">
        <v>36</v>
      </c>
      <c r="M258" t="s">
        <v>36</v>
      </c>
      <c r="Q258" t="s">
        <v>36</v>
      </c>
      <c r="U258" t="s">
        <v>24</v>
      </c>
      <c r="Y258" t="s">
        <v>36</v>
      </c>
      <c r="AC258" t="s">
        <v>24</v>
      </c>
    </row>
    <row r="259" spans="1:29" x14ac:dyDescent="0.25">
      <c r="A259" t="s">
        <v>37</v>
      </c>
      <c r="E259" t="s">
        <v>25</v>
      </c>
      <c r="I259" t="s">
        <v>37</v>
      </c>
      <c r="M259" t="s">
        <v>37</v>
      </c>
      <c r="Q259" t="s">
        <v>37</v>
      </c>
      <c r="U259" t="s">
        <v>25</v>
      </c>
      <c r="Y259" t="s">
        <v>37</v>
      </c>
      <c r="AC259" t="s">
        <v>25</v>
      </c>
    </row>
    <row r="260" spans="1:29" x14ac:dyDescent="0.25">
      <c r="A260" t="s">
        <v>38</v>
      </c>
      <c r="E260" t="s">
        <v>26</v>
      </c>
      <c r="I260" t="s">
        <v>38</v>
      </c>
      <c r="M260" t="s">
        <v>38</v>
      </c>
      <c r="Q260" t="s">
        <v>38</v>
      </c>
      <c r="U260" t="s">
        <v>26</v>
      </c>
      <c r="Y260" t="s">
        <v>38</v>
      </c>
      <c r="AC260" t="s">
        <v>26</v>
      </c>
    </row>
    <row r="262" spans="1:29" x14ac:dyDescent="0.25">
      <c r="A262" t="s">
        <v>14</v>
      </c>
      <c r="E262" t="s">
        <v>8</v>
      </c>
      <c r="I262" t="s">
        <v>14</v>
      </c>
      <c r="M262" t="s">
        <v>14</v>
      </c>
      <c r="Q262" t="s">
        <v>14</v>
      </c>
      <c r="U262" t="s">
        <v>8</v>
      </c>
      <c r="Y262" t="s">
        <v>14</v>
      </c>
      <c r="AC262" t="s">
        <v>8</v>
      </c>
    </row>
    <row r="263" spans="1:29" x14ac:dyDescent="0.25">
      <c r="A263" t="s">
        <v>15</v>
      </c>
      <c r="E263" t="s">
        <v>9</v>
      </c>
      <c r="I263" t="s">
        <v>15</v>
      </c>
      <c r="M263" t="s">
        <v>15</v>
      </c>
      <c r="Q263" t="s">
        <v>15</v>
      </c>
      <c r="U263" t="s">
        <v>9</v>
      </c>
      <c r="Y263" t="s">
        <v>15</v>
      </c>
      <c r="AC263" t="s">
        <v>9</v>
      </c>
    </row>
    <row r="264" spans="1:29" x14ac:dyDescent="0.25">
      <c r="A264" t="s">
        <v>1593</v>
      </c>
      <c r="E264" t="s">
        <v>1694</v>
      </c>
      <c r="I264" t="s">
        <v>1799</v>
      </c>
      <c r="M264" t="s">
        <v>1902</v>
      </c>
      <c r="Q264" t="s">
        <v>2009</v>
      </c>
      <c r="U264" t="s">
        <v>2114</v>
      </c>
      <c r="Y264" t="s">
        <v>2226</v>
      </c>
      <c r="AC264" t="s">
        <v>2329</v>
      </c>
    </row>
    <row r="265" spans="1:29" x14ac:dyDescent="0.25">
      <c r="A265" t="s">
        <v>16</v>
      </c>
      <c r="E265" t="s">
        <v>28</v>
      </c>
      <c r="I265" t="s">
        <v>16</v>
      </c>
      <c r="M265" t="s">
        <v>16</v>
      </c>
      <c r="Q265" t="s">
        <v>16</v>
      </c>
      <c r="U265" t="s">
        <v>28</v>
      </c>
      <c r="Y265" t="s">
        <v>16</v>
      </c>
      <c r="AC265" t="s">
        <v>28</v>
      </c>
    </row>
    <row r="266" spans="1:29" x14ac:dyDescent="0.25">
      <c r="A266" t="s">
        <v>1586</v>
      </c>
      <c r="E266" t="s">
        <v>1695</v>
      </c>
      <c r="I266" t="s">
        <v>1185</v>
      </c>
      <c r="M266" t="s">
        <v>1903</v>
      </c>
      <c r="Q266" t="s">
        <v>2010</v>
      </c>
      <c r="U266" t="s">
        <v>2115</v>
      </c>
      <c r="Y266" t="s">
        <v>2227</v>
      </c>
      <c r="AC266" t="s">
        <v>2330</v>
      </c>
    </row>
    <row r="267" spans="1:29" x14ac:dyDescent="0.25">
      <c r="A267" t="s">
        <v>18</v>
      </c>
      <c r="E267" t="s">
        <v>30</v>
      </c>
      <c r="I267" t="s">
        <v>18</v>
      </c>
      <c r="M267" t="s">
        <v>18</v>
      </c>
      <c r="Q267" t="s">
        <v>18</v>
      </c>
      <c r="U267" t="s">
        <v>30</v>
      </c>
      <c r="Y267" t="s">
        <v>18</v>
      </c>
      <c r="AC267" t="s">
        <v>30</v>
      </c>
    </row>
    <row r="268" spans="1:29" x14ac:dyDescent="0.25">
      <c r="A268" t="s">
        <v>19</v>
      </c>
      <c r="E268" t="s">
        <v>31</v>
      </c>
      <c r="I268" t="s">
        <v>19</v>
      </c>
      <c r="M268" t="s">
        <v>19</v>
      </c>
      <c r="Q268" t="s">
        <v>19</v>
      </c>
      <c r="U268" t="s">
        <v>31</v>
      </c>
      <c r="Y268" t="s">
        <v>19</v>
      </c>
      <c r="AC268" t="s">
        <v>31</v>
      </c>
    </row>
    <row r="269" spans="1:29" x14ac:dyDescent="0.25">
      <c r="A269" t="s">
        <v>20</v>
      </c>
      <c r="E269" t="s">
        <v>32</v>
      </c>
      <c r="I269" t="s">
        <v>20</v>
      </c>
      <c r="M269" t="s">
        <v>20</v>
      </c>
      <c r="Q269" t="s">
        <v>20</v>
      </c>
      <c r="U269" t="s">
        <v>32</v>
      </c>
      <c r="Y269" t="s">
        <v>20</v>
      </c>
      <c r="AC269" t="s">
        <v>32</v>
      </c>
    </row>
    <row r="270" spans="1:29" x14ac:dyDescent="0.25">
      <c r="A270" t="s">
        <v>1594</v>
      </c>
      <c r="E270" t="s">
        <v>1696</v>
      </c>
      <c r="I270" t="s">
        <v>1800</v>
      </c>
      <c r="M270" t="s">
        <v>1904</v>
      </c>
      <c r="Q270" t="s">
        <v>2011</v>
      </c>
      <c r="U270" t="s">
        <v>2116</v>
      </c>
      <c r="Y270" t="s">
        <v>2228</v>
      </c>
      <c r="AC270" t="s">
        <v>2331</v>
      </c>
    </row>
    <row r="271" spans="1:29" x14ac:dyDescent="0.25">
      <c r="A271" t="s">
        <v>22</v>
      </c>
      <c r="E271" t="s">
        <v>34</v>
      </c>
      <c r="I271" t="s">
        <v>22</v>
      </c>
      <c r="M271" t="s">
        <v>22</v>
      </c>
      <c r="Q271" t="s">
        <v>22</v>
      </c>
      <c r="U271" t="s">
        <v>34</v>
      </c>
      <c r="Y271" t="s">
        <v>22</v>
      </c>
      <c r="AC271" t="s">
        <v>34</v>
      </c>
    </row>
    <row r="272" spans="1:29" x14ac:dyDescent="0.25">
      <c r="A272" t="s">
        <v>1595</v>
      </c>
      <c r="E272" t="s">
        <v>1697</v>
      </c>
      <c r="I272" t="s">
        <v>1801</v>
      </c>
      <c r="M272" t="s">
        <v>1905</v>
      </c>
      <c r="Q272" t="s">
        <v>2012</v>
      </c>
      <c r="U272" t="s">
        <v>2117</v>
      </c>
      <c r="Y272" t="s">
        <v>1017</v>
      </c>
      <c r="AC272" t="s">
        <v>2332</v>
      </c>
    </row>
    <row r="273" spans="1:29" x14ac:dyDescent="0.25">
      <c r="A273" t="s">
        <v>24</v>
      </c>
      <c r="E273" t="s">
        <v>36</v>
      </c>
      <c r="I273" t="s">
        <v>24</v>
      </c>
      <c r="M273" t="s">
        <v>24</v>
      </c>
      <c r="Q273" t="s">
        <v>24</v>
      </c>
      <c r="U273" t="s">
        <v>36</v>
      </c>
      <c r="Y273" t="s">
        <v>24</v>
      </c>
      <c r="AC273" t="s">
        <v>36</v>
      </c>
    </row>
    <row r="274" spans="1:29" x14ac:dyDescent="0.25">
      <c r="A274" t="s">
        <v>25</v>
      </c>
      <c r="E274" t="s">
        <v>37</v>
      </c>
      <c r="I274" t="s">
        <v>25</v>
      </c>
      <c r="M274" t="s">
        <v>25</v>
      </c>
      <c r="Q274" t="s">
        <v>25</v>
      </c>
      <c r="U274" t="s">
        <v>37</v>
      </c>
      <c r="Y274" t="s">
        <v>25</v>
      </c>
      <c r="AC274" t="s">
        <v>37</v>
      </c>
    </row>
    <row r="275" spans="1:29" x14ac:dyDescent="0.25">
      <c r="A275" t="s">
        <v>26</v>
      </c>
      <c r="E275" t="s">
        <v>38</v>
      </c>
      <c r="I275" t="s">
        <v>26</v>
      </c>
      <c r="M275" t="s">
        <v>26</v>
      </c>
      <c r="Q275" t="s">
        <v>26</v>
      </c>
      <c r="U275" t="s">
        <v>38</v>
      </c>
      <c r="Y275" t="s">
        <v>26</v>
      </c>
      <c r="AC275" t="s">
        <v>38</v>
      </c>
    </row>
    <row r="277" spans="1:29" x14ac:dyDescent="0.25">
      <c r="A277" t="s">
        <v>8</v>
      </c>
      <c r="E277" t="s">
        <v>14</v>
      </c>
      <c r="I277" t="s">
        <v>8</v>
      </c>
      <c r="M277" t="s">
        <v>8</v>
      </c>
      <c r="Q277" t="s">
        <v>8</v>
      </c>
      <c r="U277" t="s">
        <v>14</v>
      </c>
      <c r="Y277" t="s">
        <v>8</v>
      </c>
      <c r="AC277" t="s">
        <v>14</v>
      </c>
    </row>
    <row r="278" spans="1:29" x14ac:dyDescent="0.25">
      <c r="A278" t="s">
        <v>9</v>
      </c>
      <c r="E278" t="s">
        <v>15</v>
      </c>
      <c r="I278" t="s">
        <v>9</v>
      </c>
      <c r="M278" t="s">
        <v>9</v>
      </c>
      <c r="Q278" t="s">
        <v>9</v>
      </c>
      <c r="U278" t="s">
        <v>15</v>
      </c>
      <c r="Y278" t="s">
        <v>9</v>
      </c>
      <c r="AC278" t="s">
        <v>15</v>
      </c>
    </row>
    <row r="279" spans="1:29" x14ac:dyDescent="0.25">
      <c r="A279" t="s">
        <v>1596</v>
      </c>
      <c r="E279" t="s">
        <v>1698</v>
      </c>
      <c r="I279" t="s">
        <v>1802</v>
      </c>
      <c r="M279" t="s">
        <v>1906</v>
      </c>
      <c r="Q279" t="s">
        <v>2013</v>
      </c>
      <c r="U279" t="s">
        <v>2118</v>
      </c>
      <c r="Y279" t="s">
        <v>2229</v>
      </c>
      <c r="AC279" t="s">
        <v>2333</v>
      </c>
    </row>
    <row r="280" spans="1:29" x14ac:dyDescent="0.25">
      <c r="A280" t="s">
        <v>28</v>
      </c>
      <c r="E280" t="s">
        <v>16</v>
      </c>
      <c r="I280" t="s">
        <v>28</v>
      </c>
      <c r="M280" t="s">
        <v>28</v>
      </c>
      <c r="Q280" t="s">
        <v>28</v>
      </c>
      <c r="U280" t="s">
        <v>16</v>
      </c>
      <c r="Y280" t="s">
        <v>28</v>
      </c>
      <c r="AC280" t="s">
        <v>16</v>
      </c>
    </row>
    <row r="281" spans="1:29" x14ac:dyDescent="0.25">
      <c r="A281" t="s">
        <v>445</v>
      </c>
      <c r="E281" t="s">
        <v>1699</v>
      </c>
      <c r="I281" t="s">
        <v>1181</v>
      </c>
      <c r="M281" t="s">
        <v>1907</v>
      </c>
      <c r="Q281" t="s">
        <v>2014</v>
      </c>
      <c r="U281" t="s">
        <v>2119</v>
      </c>
      <c r="Y281" t="s">
        <v>2230</v>
      </c>
      <c r="AC281" t="s">
        <v>2334</v>
      </c>
    </row>
    <row r="282" spans="1:29" x14ac:dyDescent="0.25">
      <c r="A282" t="s">
        <v>30</v>
      </c>
      <c r="E282" t="s">
        <v>18</v>
      </c>
      <c r="I282" t="s">
        <v>30</v>
      </c>
      <c r="M282" t="s">
        <v>30</v>
      </c>
      <c r="Q282" t="s">
        <v>30</v>
      </c>
      <c r="U282" t="s">
        <v>18</v>
      </c>
      <c r="Y282" t="s">
        <v>30</v>
      </c>
      <c r="AC282" t="s">
        <v>18</v>
      </c>
    </row>
    <row r="283" spans="1:29" x14ac:dyDescent="0.25">
      <c r="A283" t="s">
        <v>31</v>
      </c>
      <c r="E283" t="s">
        <v>19</v>
      </c>
      <c r="I283" t="s">
        <v>31</v>
      </c>
      <c r="M283" t="s">
        <v>31</v>
      </c>
      <c r="Q283" t="s">
        <v>31</v>
      </c>
      <c r="U283" t="s">
        <v>19</v>
      </c>
      <c r="Y283" t="s">
        <v>31</v>
      </c>
      <c r="AC283" t="s">
        <v>19</v>
      </c>
    </row>
    <row r="284" spans="1:29" x14ac:dyDescent="0.25">
      <c r="A284" t="s">
        <v>32</v>
      </c>
      <c r="E284" t="s">
        <v>20</v>
      </c>
      <c r="I284" t="s">
        <v>32</v>
      </c>
      <c r="M284" t="s">
        <v>32</v>
      </c>
      <c r="Q284" t="s">
        <v>32</v>
      </c>
      <c r="U284" t="s">
        <v>20</v>
      </c>
      <c r="Y284" t="s">
        <v>32</v>
      </c>
      <c r="AC284" t="s">
        <v>20</v>
      </c>
    </row>
    <row r="285" spans="1:29" x14ac:dyDescent="0.25">
      <c r="A285" t="s">
        <v>1597</v>
      </c>
      <c r="E285" t="s">
        <v>1700</v>
      </c>
      <c r="I285" t="s">
        <v>1803</v>
      </c>
      <c r="M285" t="s">
        <v>1908</v>
      </c>
      <c r="Q285" t="s">
        <v>2015</v>
      </c>
      <c r="U285" t="s">
        <v>2120</v>
      </c>
      <c r="Y285" t="s">
        <v>2231</v>
      </c>
      <c r="AC285" t="s">
        <v>2335</v>
      </c>
    </row>
    <row r="286" spans="1:29" x14ac:dyDescent="0.25">
      <c r="A286" t="s">
        <v>34</v>
      </c>
      <c r="E286" t="s">
        <v>22</v>
      </c>
      <c r="I286" t="s">
        <v>34</v>
      </c>
      <c r="M286" t="s">
        <v>34</v>
      </c>
      <c r="Q286" t="s">
        <v>34</v>
      </c>
      <c r="U286" t="s">
        <v>22</v>
      </c>
      <c r="Y286" t="s">
        <v>34</v>
      </c>
      <c r="AC286" t="s">
        <v>22</v>
      </c>
    </row>
    <row r="287" spans="1:29" x14ac:dyDescent="0.25">
      <c r="A287" t="s">
        <v>1598</v>
      </c>
      <c r="E287" t="s">
        <v>1701</v>
      </c>
      <c r="I287" t="s">
        <v>1804</v>
      </c>
      <c r="M287" t="s">
        <v>1909</v>
      </c>
      <c r="Q287" t="s">
        <v>2016</v>
      </c>
      <c r="U287" t="s">
        <v>2121</v>
      </c>
      <c r="Y287" t="s">
        <v>2232</v>
      </c>
      <c r="AC287" t="s">
        <v>2336</v>
      </c>
    </row>
    <row r="288" spans="1:29" x14ac:dyDescent="0.25">
      <c r="A288" t="s">
        <v>36</v>
      </c>
      <c r="E288" t="s">
        <v>24</v>
      </c>
      <c r="I288" t="s">
        <v>36</v>
      </c>
      <c r="M288" t="s">
        <v>36</v>
      </c>
      <c r="Q288" t="s">
        <v>36</v>
      </c>
      <c r="U288" t="s">
        <v>24</v>
      </c>
      <c r="Y288" t="s">
        <v>36</v>
      </c>
      <c r="AC288" t="s">
        <v>24</v>
      </c>
    </row>
    <row r="289" spans="1:29" x14ac:dyDescent="0.25">
      <c r="A289" t="s">
        <v>37</v>
      </c>
      <c r="E289" t="s">
        <v>25</v>
      </c>
      <c r="I289" t="s">
        <v>37</v>
      </c>
      <c r="M289" t="s">
        <v>37</v>
      </c>
      <c r="Q289" t="s">
        <v>37</v>
      </c>
      <c r="U289" t="s">
        <v>25</v>
      </c>
      <c r="Y289" t="s">
        <v>37</v>
      </c>
      <c r="AC289" t="s">
        <v>25</v>
      </c>
    </row>
    <row r="290" spans="1:29" x14ac:dyDescent="0.25">
      <c r="A290" t="s">
        <v>38</v>
      </c>
      <c r="E290" t="s">
        <v>26</v>
      </c>
      <c r="I290" t="s">
        <v>38</v>
      </c>
      <c r="M290" t="s">
        <v>38</v>
      </c>
      <c r="Q290" t="s">
        <v>38</v>
      </c>
      <c r="U290" t="s">
        <v>26</v>
      </c>
      <c r="Y290" t="s">
        <v>38</v>
      </c>
      <c r="AC290" t="s">
        <v>26</v>
      </c>
    </row>
    <row r="292" spans="1:29" x14ac:dyDescent="0.25">
      <c r="A292" t="s">
        <v>14</v>
      </c>
      <c r="E292" t="s">
        <v>8</v>
      </c>
      <c r="I292" t="s">
        <v>14</v>
      </c>
      <c r="M292" t="s">
        <v>14</v>
      </c>
      <c r="Q292" t="s">
        <v>14</v>
      </c>
      <c r="U292" t="s">
        <v>8</v>
      </c>
      <c r="Y292" t="s">
        <v>14</v>
      </c>
      <c r="AC292" t="s">
        <v>8</v>
      </c>
    </row>
    <row r="293" spans="1:29" x14ac:dyDescent="0.25">
      <c r="A293" t="s">
        <v>15</v>
      </c>
      <c r="E293" t="s">
        <v>9</v>
      </c>
      <c r="I293" t="s">
        <v>15</v>
      </c>
      <c r="M293" t="s">
        <v>15</v>
      </c>
      <c r="Q293" t="s">
        <v>15</v>
      </c>
      <c r="U293" t="s">
        <v>9</v>
      </c>
      <c r="Y293" t="s">
        <v>15</v>
      </c>
      <c r="AC293" t="s">
        <v>9</v>
      </c>
    </row>
    <row r="294" spans="1:29" x14ac:dyDescent="0.25">
      <c r="A294" t="s">
        <v>1599</v>
      </c>
      <c r="E294" t="s">
        <v>1702</v>
      </c>
      <c r="I294" t="s">
        <v>1805</v>
      </c>
      <c r="M294" t="s">
        <v>1910</v>
      </c>
      <c r="Q294" t="s">
        <v>2017</v>
      </c>
      <c r="U294" t="s">
        <v>2122</v>
      </c>
      <c r="Y294" t="s">
        <v>2233</v>
      </c>
      <c r="AC294" t="s">
        <v>2337</v>
      </c>
    </row>
    <row r="295" spans="1:29" x14ac:dyDescent="0.25">
      <c r="A295" t="s">
        <v>16</v>
      </c>
      <c r="E295" t="s">
        <v>28</v>
      </c>
      <c r="I295" t="s">
        <v>16</v>
      </c>
      <c r="M295" t="s">
        <v>16</v>
      </c>
      <c r="Q295" t="s">
        <v>16</v>
      </c>
      <c r="U295" t="s">
        <v>28</v>
      </c>
      <c r="Y295" t="s">
        <v>16</v>
      </c>
      <c r="AC295" t="s">
        <v>28</v>
      </c>
    </row>
    <row r="296" spans="1:29" x14ac:dyDescent="0.25">
      <c r="A296" t="s">
        <v>1600</v>
      </c>
      <c r="E296" t="s">
        <v>683</v>
      </c>
      <c r="I296" t="s">
        <v>1185</v>
      </c>
      <c r="M296" t="s">
        <v>1670</v>
      </c>
      <c r="Q296" t="s">
        <v>2003</v>
      </c>
      <c r="U296" t="s">
        <v>2123</v>
      </c>
      <c r="Y296" t="s">
        <v>2234</v>
      </c>
      <c r="AC296" t="s">
        <v>2338</v>
      </c>
    </row>
    <row r="297" spans="1:29" x14ac:dyDescent="0.25">
      <c r="A297" t="s">
        <v>18</v>
      </c>
      <c r="E297" t="s">
        <v>30</v>
      </c>
      <c r="I297" t="s">
        <v>18</v>
      </c>
      <c r="M297" t="s">
        <v>18</v>
      </c>
      <c r="Q297" t="s">
        <v>18</v>
      </c>
      <c r="U297" t="s">
        <v>30</v>
      </c>
      <c r="Y297" t="s">
        <v>18</v>
      </c>
      <c r="AC297" t="s">
        <v>30</v>
      </c>
    </row>
    <row r="298" spans="1:29" x14ac:dyDescent="0.25">
      <c r="A298" t="s">
        <v>19</v>
      </c>
      <c r="E298" t="s">
        <v>31</v>
      </c>
      <c r="I298" t="s">
        <v>19</v>
      </c>
      <c r="M298" t="s">
        <v>19</v>
      </c>
      <c r="Q298" t="s">
        <v>19</v>
      </c>
      <c r="U298" t="s">
        <v>31</v>
      </c>
      <c r="Y298" t="s">
        <v>19</v>
      </c>
      <c r="AC298" t="s">
        <v>31</v>
      </c>
    </row>
    <row r="299" spans="1:29" x14ac:dyDescent="0.25">
      <c r="A299" t="s">
        <v>20</v>
      </c>
      <c r="E299" t="s">
        <v>32</v>
      </c>
      <c r="I299" t="s">
        <v>20</v>
      </c>
      <c r="M299" t="s">
        <v>20</v>
      </c>
      <c r="Q299" t="s">
        <v>20</v>
      </c>
      <c r="U299" t="s">
        <v>32</v>
      </c>
      <c r="Y299" t="s">
        <v>20</v>
      </c>
      <c r="AC299" t="s">
        <v>32</v>
      </c>
    </row>
    <row r="300" spans="1:29" x14ac:dyDescent="0.25">
      <c r="A300" t="s">
        <v>1601</v>
      </c>
      <c r="E300" t="s">
        <v>1703</v>
      </c>
      <c r="I300" t="s">
        <v>1806</v>
      </c>
      <c r="M300" t="s">
        <v>1911</v>
      </c>
      <c r="Q300" t="s">
        <v>2018</v>
      </c>
      <c r="U300" t="s">
        <v>2124</v>
      </c>
      <c r="Y300" t="s">
        <v>2235</v>
      </c>
      <c r="AC300" t="s">
        <v>2339</v>
      </c>
    </row>
    <row r="301" spans="1:29" x14ac:dyDescent="0.25">
      <c r="A301" t="s">
        <v>22</v>
      </c>
      <c r="E301" t="s">
        <v>34</v>
      </c>
      <c r="I301" t="s">
        <v>22</v>
      </c>
      <c r="M301" t="s">
        <v>22</v>
      </c>
      <c r="Q301" t="s">
        <v>22</v>
      </c>
      <c r="U301" t="s">
        <v>34</v>
      </c>
      <c r="Y301" t="s">
        <v>22</v>
      </c>
      <c r="AC301" t="s">
        <v>34</v>
      </c>
    </row>
    <row r="302" spans="1:29" x14ac:dyDescent="0.25">
      <c r="A302" t="s">
        <v>1602</v>
      </c>
      <c r="E302" t="s">
        <v>1704</v>
      </c>
      <c r="I302" t="s">
        <v>1807</v>
      </c>
      <c r="M302" t="s">
        <v>1912</v>
      </c>
      <c r="Q302" t="s">
        <v>2019</v>
      </c>
      <c r="U302" t="s">
        <v>948</v>
      </c>
      <c r="Y302" t="s">
        <v>2236</v>
      </c>
      <c r="AC302" t="s">
        <v>2340</v>
      </c>
    </row>
    <row r="303" spans="1:29" x14ac:dyDescent="0.25">
      <c r="A303" t="s">
        <v>24</v>
      </c>
      <c r="E303" t="s">
        <v>36</v>
      </c>
      <c r="I303" t="s">
        <v>24</v>
      </c>
      <c r="M303" t="s">
        <v>24</v>
      </c>
      <c r="Q303" t="s">
        <v>24</v>
      </c>
      <c r="U303" t="s">
        <v>36</v>
      </c>
      <c r="Y303" t="s">
        <v>24</v>
      </c>
      <c r="AC303" t="s">
        <v>36</v>
      </c>
    </row>
    <row r="304" spans="1:29" x14ac:dyDescent="0.25">
      <c r="A304" t="s">
        <v>25</v>
      </c>
      <c r="E304" t="s">
        <v>37</v>
      </c>
      <c r="I304" t="s">
        <v>25</v>
      </c>
      <c r="M304" t="s">
        <v>25</v>
      </c>
      <c r="Q304" t="s">
        <v>25</v>
      </c>
      <c r="U304" t="s">
        <v>37</v>
      </c>
      <c r="Y304" t="s">
        <v>25</v>
      </c>
      <c r="AC304" t="s">
        <v>37</v>
      </c>
    </row>
    <row r="305" spans="1:29" x14ac:dyDescent="0.25">
      <c r="A305" t="s">
        <v>26</v>
      </c>
      <c r="E305" t="s">
        <v>38</v>
      </c>
      <c r="I305" t="s">
        <v>26</v>
      </c>
      <c r="M305" t="s">
        <v>26</v>
      </c>
      <c r="Q305" t="s">
        <v>26</v>
      </c>
      <c r="U305" t="s">
        <v>38</v>
      </c>
      <c r="Y305" t="s">
        <v>26</v>
      </c>
      <c r="AC305" t="s">
        <v>38</v>
      </c>
    </row>
    <row r="307" spans="1:29" x14ac:dyDescent="0.25">
      <c r="A307" t="s">
        <v>8</v>
      </c>
      <c r="E307" t="s">
        <v>14</v>
      </c>
      <c r="I307" t="s">
        <v>8</v>
      </c>
      <c r="M307" t="s">
        <v>8</v>
      </c>
      <c r="Q307" t="s">
        <v>8</v>
      </c>
      <c r="U307" t="s">
        <v>14</v>
      </c>
      <c r="Y307" t="s">
        <v>8</v>
      </c>
      <c r="AC307" t="s">
        <v>14</v>
      </c>
    </row>
    <row r="308" spans="1:29" x14ac:dyDescent="0.25">
      <c r="A308" t="s">
        <v>9</v>
      </c>
      <c r="E308" t="s">
        <v>15</v>
      </c>
      <c r="I308" t="s">
        <v>9</v>
      </c>
      <c r="M308" t="s">
        <v>9</v>
      </c>
      <c r="Q308" t="s">
        <v>9</v>
      </c>
      <c r="U308" t="s">
        <v>15</v>
      </c>
      <c r="Y308" t="s">
        <v>9</v>
      </c>
      <c r="AC308" t="s">
        <v>15</v>
      </c>
    </row>
    <row r="309" spans="1:29" x14ac:dyDescent="0.25">
      <c r="A309" t="s">
        <v>1603</v>
      </c>
      <c r="E309" t="s">
        <v>1705</v>
      </c>
      <c r="I309" t="s">
        <v>1808</v>
      </c>
      <c r="M309" t="s">
        <v>1913</v>
      </c>
      <c r="Q309" t="s">
        <v>2020</v>
      </c>
      <c r="U309" t="s">
        <v>2125</v>
      </c>
      <c r="Y309" t="s">
        <v>2237</v>
      </c>
      <c r="AC309" t="s">
        <v>2341</v>
      </c>
    </row>
    <row r="310" spans="1:29" x14ac:dyDescent="0.25">
      <c r="A310" t="s">
        <v>28</v>
      </c>
      <c r="E310" t="s">
        <v>16</v>
      </c>
      <c r="I310" t="s">
        <v>28</v>
      </c>
      <c r="M310" t="s">
        <v>28</v>
      </c>
      <c r="Q310" t="s">
        <v>28</v>
      </c>
      <c r="U310" t="s">
        <v>16</v>
      </c>
      <c r="Y310" t="s">
        <v>28</v>
      </c>
      <c r="AC310" t="s">
        <v>16</v>
      </c>
    </row>
    <row r="311" spans="1:29" x14ac:dyDescent="0.25">
      <c r="A311" t="s">
        <v>1604</v>
      </c>
      <c r="E311" t="s">
        <v>1706</v>
      </c>
      <c r="I311" t="s">
        <v>721</v>
      </c>
      <c r="M311" t="s">
        <v>1624</v>
      </c>
      <c r="Q311" t="s">
        <v>1983</v>
      </c>
      <c r="U311" t="s">
        <v>2126</v>
      </c>
      <c r="Y311" t="s">
        <v>2238</v>
      </c>
      <c r="AC311" t="s">
        <v>2342</v>
      </c>
    </row>
    <row r="312" spans="1:29" x14ac:dyDescent="0.25">
      <c r="A312" t="s">
        <v>30</v>
      </c>
      <c r="E312" t="s">
        <v>18</v>
      </c>
      <c r="I312" t="s">
        <v>30</v>
      </c>
      <c r="M312" t="s">
        <v>30</v>
      </c>
      <c r="Q312" t="s">
        <v>30</v>
      </c>
      <c r="U312" t="s">
        <v>18</v>
      </c>
      <c r="Y312" t="s">
        <v>30</v>
      </c>
      <c r="AC312" t="s">
        <v>18</v>
      </c>
    </row>
    <row r="313" spans="1:29" x14ac:dyDescent="0.25">
      <c r="A313" t="s">
        <v>31</v>
      </c>
      <c r="E313" t="s">
        <v>19</v>
      </c>
      <c r="I313" t="s">
        <v>31</v>
      </c>
      <c r="M313" t="s">
        <v>31</v>
      </c>
      <c r="Q313" t="s">
        <v>31</v>
      </c>
      <c r="U313" t="s">
        <v>19</v>
      </c>
      <c r="Y313" t="s">
        <v>31</v>
      </c>
      <c r="AC313" t="s">
        <v>19</v>
      </c>
    </row>
    <row r="314" spans="1:29" x14ac:dyDescent="0.25">
      <c r="A314" t="s">
        <v>32</v>
      </c>
      <c r="E314" t="s">
        <v>20</v>
      </c>
      <c r="I314" t="s">
        <v>32</v>
      </c>
      <c r="M314" t="s">
        <v>32</v>
      </c>
      <c r="Q314" t="s">
        <v>32</v>
      </c>
      <c r="U314" t="s">
        <v>20</v>
      </c>
      <c r="Y314" t="s">
        <v>32</v>
      </c>
      <c r="AC314" t="s">
        <v>20</v>
      </c>
    </row>
    <row r="315" spans="1:29" x14ac:dyDescent="0.25">
      <c r="A315" t="s">
        <v>1605</v>
      </c>
      <c r="E315" t="s">
        <v>1707</v>
      </c>
      <c r="I315" t="s">
        <v>1809</v>
      </c>
      <c r="M315" t="s">
        <v>1914</v>
      </c>
      <c r="Q315" t="s">
        <v>2021</v>
      </c>
      <c r="U315" t="s">
        <v>2127</v>
      </c>
      <c r="Y315" t="s">
        <v>2239</v>
      </c>
      <c r="AC315" t="s">
        <v>2343</v>
      </c>
    </row>
    <row r="316" spans="1:29" x14ac:dyDescent="0.25">
      <c r="A316" t="s">
        <v>34</v>
      </c>
      <c r="E316" t="s">
        <v>22</v>
      </c>
      <c r="I316" t="s">
        <v>34</v>
      </c>
      <c r="M316" t="s">
        <v>34</v>
      </c>
      <c r="Q316" t="s">
        <v>34</v>
      </c>
      <c r="U316" t="s">
        <v>22</v>
      </c>
      <c r="Y316" t="s">
        <v>34</v>
      </c>
      <c r="AC316" t="s">
        <v>22</v>
      </c>
    </row>
    <row r="317" spans="1:29" x14ac:dyDescent="0.25">
      <c r="A317" t="s">
        <v>1606</v>
      </c>
      <c r="E317" t="s">
        <v>1708</v>
      </c>
      <c r="I317" t="s">
        <v>1810</v>
      </c>
      <c r="M317" t="s">
        <v>1915</v>
      </c>
      <c r="Q317" t="s">
        <v>999</v>
      </c>
      <c r="U317" t="s">
        <v>2128</v>
      </c>
      <c r="Y317" t="s">
        <v>968</v>
      </c>
      <c r="AC317" t="s">
        <v>2344</v>
      </c>
    </row>
    <row r="318" spans="1:29" x14ac:dyDescent="0.25">
      <c r="A318" t="s">
        <v>36</v>
      </c>
      <c r="E318" t="s">
        <v>24</v>
      </c>
      <c r="I318" t="s">
        <v>36</v>
      </c>
      <c r="M318" t="s">
        <v>36</v>
      </c>
      <c r="Q318" t="s">
        <v>36</v>
      </c>
      <c r="U318" t="s">
        <v>24</v>
      </c>
      <c r="Y318" t="s">
        <v>36</v>
      </c>
      <c r="AC318" t="s">
        <v>24</v>
      </c>
    </row>
    <row r="319" spans="1:29" x14ac:dyDescent="0.25">
      <c r="A319" t="s">
        <v>37</v>
      </c>
      <c r="E319" t="s">
        <v>25</v>
      </c>
      <c r="I319" t="s">
        <v>37</v>
      </c>
      <c r="M319" t="s">
        <v>37</v>
      </c>
      <c r="Q319" t="s">
        <v>37</v>
      </c>
      <c r="U319" t="s">
        <v>25</v>
      </c>
      <c r="Y319" t="s">
        <v>37</v>
      </c>
      <c r="AC319" t="s">
        <v>25</v>
      </c>
    </row>
    <row r="320" spans="1:29" x14ac:dyDescent="0.25">
      <c r="A320" t="s">
        <v>38</v>
      </c>
      <c r="E320" t="s">
        <v>26</v>
      </c>
      <c r="I320" t="s">
        <v>38</v>
      </c>
      <c r="M320" t="s">
        <v>38</v>
      </c>
      <c r="Q320" t="s">
        <v>38</v>
      </c>
      <c r="U320" t="s">
        <v>26</v>
      </c>
      <c r="Y320" t="s">
        <v>38</v>
      </c>
      <c r="AC320" t="s">
        <v>26</v>
      </c>
    </row>
    <row r="322" spans="1:29" x14ac:dyDescent="0.25">
      <c r="A322" t="s">
        <v>14</v>
      </c>
      <c r="E322" t="s">
        <v>8</v>
      </c>
      <c r="I322" t="s">
        <v>14</v>
      </c>
      <c r="M322" t="s">
        <v>14</v>
      </c>
      <c r="Q322" t="s">
        <v>14</v>
      </c>
      <c r="U322" t="s">
        <v>8</v>
      </c>
      <c r="Y322" t="s">
        <v>14</v>
      </c>
      <c r="AC322" t="s">
        <v>8</v>
      </c>
    </row>
    <row r="323" spans="1:29" x14ac:dyDescent="0.25">
      <c r="A323" t="s">
        <v>15</v>
      </c>
      <c r="E323" t="s">
        <v>9</v>
      </c>
      <c r="I323" t="s">
        <v>15</v>
      </c>
      <c r="M323" t="s">
        <v>15</v>
      </c>
      <c r="Q323" t="s">
        <v>15</v>
      </c>
      <c r="U323" t="s">
        <v>9</v>
      </c>
      <c r="Y323" t="s">
        <v>15</v>
      </c>
      <c r="AC323" t="s">
        <v>9</v>
      </c>
    </row>
    <row r="324" spans="1:29" x14ac:dyDescent="0.25">
      <c r="A324" t="s">
        <v>1607</v>
      </c>
      <c r="E324" t="s">
        <v>1709</v>
      </c>
      <c r="I324" t="s">
        <v>1811</v>
      </c>
      <c r="M324" t="s">
        <v>1916</v>
      </c>
      <c r="Q324" t="s">
        <v>2022</v>
      </c>
      <c r="U324" t="s">
        <v>2129</v>
      </c>
      <c r="Y324" t="s">
        <v>2226</v>
      </c>
      <c r="AC324" t="s">
        <v>2345</v>
      </c>
    </row>
    <row r="325" spans="1:29" x14ac:dyDescent="0.25">
      <c r="A325" t="s">
        <v>16</v>
      </c>
      <c r="E325" t="s">
        <v>28</v>
      </c>
      <c r="I325" t="s">
        <v>16</v>
      </c>
      <c r="M325" t="s">
        <v>16</v>
      </c>
      <c r="Q325" t="s">
        <v>16</v>
      </c>
      <c r="U325" t="s">
        <v>28</v>
      </c>
      <c r="Y325" t="s">
        <v>16</v>
      </c>
      <c r="AC325" t="s">
        <v>28</v>
      </c>
    </row>
    <row r="326" spans="1:29" x14ac:dyDescent="0.25">
      <c r="A326" t="s">
        <v>1185</v>
      </c>
      <c r="E326" t="s">
        <v>1710</v>
      </c>
      <c r="I326" t="s">
        <v>1812</v>
      </c>
      <c r="M326" t="s">
        <v>1600</v>
      </c>
      <c r="Q326" t="s">
        <v>1971</v>
      </c>
      <c r="U326" t="s">
        <v>2130</v>
      </c>
      <c r="Y326" t="s">
        <v>2240</v>
      </c>
      <c r="AC326" t="s">
        <v>2346</v>
      </c>
    </row>
    <row r="327" spans="1:29" x14ac:dyDescent="0.25">
      <c r="A327" t="s">
        <v>18</v>
      </c>
      <c r="E327" t="s">
        <v>30</v>
      </c>
      <c r="I327" t="s">
        <v>18</v>
      </c>
      <c r="M327" t="s">
        <v>18</v>
      </c>
      <c r="Q327" t="s">
        <v>18</v>
      </c>
      <c r="U327" t="s">
        <v>30</v>
      </c>
      <c r="Y327" t="s">
        <v>18</v>
      </c>
      <c r="AC327" t="s">
        <v>30</v>
      </c>
    </row>
    <row r="328" spans="1:29" x14ac:dyDescent="0.25">
      <c r="A328" t="s">
        <v>19</v>
      </c>
      <c r="E328" t="s">
        <v>31</v>
      </c>
      <c r="I328" t="s">
        <v>19</v>
      </c>
      <c r="M328" t="s">
        <v>19</v>
      </c>
      <c r="Q328" t="s">
        <v>19</v>
      </c>
      <c r="U328" t="s">
        <v>31</v>
      </c>
      <c r="Y328" t="s">
        <v>19</v>
      </c>
      <c r="AC328" t="s">
        <v>31</v>
      </c>
    </row>
    <row r="329" spans="1:29" x14ac:dyDescent="0.25">
      <c r="A329" t="s">
        <v>20</v>
      </c>
      <c r="E329" t="s">
        <v>32</v>
      </c>
      <c r="I329" t="s">
        <v>20</v>
      </c>
      <c r="M329" t="s">
        <v>20</v>
      </c>
      <c r="Q329" t="s">
        <v>20</v>
      </c>
      <c r="U329" t="s">
        <v>32</v>
      </c>
      <c r="Y329" t="s">
        <v>20</v>
      </c>
      <c r="AC329" t="s">
        <v>32</v>
      </c>
    </row>
    <row r="330" spans="1:29" x14ac:dyDescent="0.25">
      <c r="A330" t="s">
        <v>1608</v>
      </c>
      <c r="E330" t="s">
        <v>1711</v>
      </c>
      <c r="I330" t="s">
        <v>1813</v>
      </c>
      <c r="M330" t="s">
        <v>1917</v>
      </c>
      <c r="Q330" t="s">
        <v>2023</v>
      </c>
      <c r="U330" t="s">
        <v>2131</v>
      </c>
      <c r="Y330" t="s">
        <v>2228</v>
      </c>
      <c r="AC330" t="s">
        <v>2347</v>
      </c>
    </row>
    <row r="331" spans="1:29" x14ac:dyDescent="0.25">
      <c r="A331" t="s">
        <v>22</v>
      </c>
      <c r="E331" t="s">
        <v>34</v>
      </c>
      <c r="I331" t="s">
        <v>22</v>
      </c>
      <c r="M331" t="s">
        <v>22</v>
      </c>
      <c r="Q331" t="s">
        <v>22</v>
      </c>
      <c r="U331" t="s">
        <v>34</v>
      </c>
      <c r="Y331" t="s">
        <v>22</v>
      </c>
      <c r="AC331" t="s">
        <v>34</v>
      </c>
    </row>
    <row r="332" spans="1:29" x14ac:dyDescent="0.25">
      <c r="A332" t="s">
        <v>1609</v>
      </c>
      <c r="E332" t="s">
        <v>1712</v>
      </c>
      <c r="I332" t="s">
        <v>1814</v>
      </c>
      <c r="M332" t="s">
        <v>1918</v>
      </c>
      <c r="Q332" t="s">
        <v>2024</v>
      </c>
      <c r="U332" t="s">
        <v>2132</v>
      </c>
      <c r="Y332" t="s">
        <v>1017</v>
      </c>
      <c r="AC332" t="s">
        <v>2348</v>
      </c>
    </row>
    <row r="333" spans="1:29" x14ac:dyDescent="0.25">
      <c r="A333" t="s">
        <v>24</v>
      </c>
      <c r="E333" t="s">
        <v>36</v>
      </c>
      <c r="I333" t="s">
        <v>24</v>
      </c>
      <c r="M333" t="s">
        <v>24</v>
      </c>
      <c r="Q333" t="s">
        <v>24</v>
      </c>
      <c r="U333" t="s">
        <v>36</v>
      </c>
      <c r="Y333" t="s">
        <v>24</v>
      </c>
      <c r="AC333" t="s">
        <v>36</v>
      </c>
    </row>
    <row r="334" spans="1:29" x14ac:dyDescent="0.25">
      <c r="A334" t="s">
        <v>25</v>
      </c>
      <c r="E334" t="s">
        <v>37</v>
      </c>
      <c r="I334" t="s">
        <v>25</v>
      </c>
      <c r="M334" t="s">
        <v>25</v>
      </c>
      <c r="Q334" t="s">
        <v>25</v>
      </c>
      <c r="U334" t="s">
        <v>37</v>
      </c>
      <c r="Y334" t="s">
        <v>25</v>
      </c>
      <c r="AC334" t="s">
        <v>37</v>
      </c>
    </row>
    <row r="335" spans="1:29" x14ac:dyDescent="0.25">
      <c r="A335" t="s">
        <v>26</v>
      </c>
      <c r="E335" t="s">
        <v>38</v>
      </c>
      <c r="I335" t="s">
        <v>26</v>
      </c>
      <c r="M335" t="s">
        <v>26</v>
      </c>
      <c r="Q335" t="s">
        <v>26</v>
      </c>
      <c r="U335" t="s">
        <v>38</v>
      </c>
      <c r="Y335" t="s">
        <v>26</v>
      </c>
      <c r="AC335" t="s">
        <v>38</v>
      </c>
    </row>
    <row r="337" spans="1:29" x14ac:dyDescent="0.25">
      <c r="A337" t="s">
        <v>8</v>
      </c>
      <c r="E337" t="s">
        <v>14</v>
      </c>
      <c r="I337" t="s">
        <v>8</v>
      </c>
      <c r="M337" t="s">
        <v>8</v>
      </c>
      <c r="Q337" t="s">
        <v>8</v>
      </c>
      <c r="U337" t="s">
        <v>14</v>
      </c>
      <c r="Y337" t="s">
        <v>8</v>
      </c>
      <c r="AC337" t="s">
        <v>14</v>
      </c>
    </row>
    <row r="338" spans="1:29" x14ac:dyDescent="0.25">
      <c r="A338" t="s">
        <v>9</v>
      </c>
      <c r="E338" t="s">
        <v>15</v>
      </c>
      <c r="I338" t="s">
        <v>9</v>
      </c>
      <c r="M338" t="s">
        <v>9</v>
      </c>
      <c r="Q338" t="s">
        <v>9</v>
      </c>
      <c r="U338" t="s">
        <v>15</v>
      </c>
      <c r="Y338" t="s">
        <v>9</v>
      </c>
      <c r="AC338" t="s">
        <v>15</v>
      </c>
    </row>
    <row r="339" spans="1:29" x14ac:dyDescent="0.25">
      <c r="A339" t="s">
        <v>1610</v>
      </c>
      <c r="E339" t="s">
        <v>1713</v>
      </c>
      <c r="I339" t="s">
        <v>1815</v>
      </c>
      <c r="M339" t="s">
        <v>1919</v>
      </c>
      <c r="Q339" t="s">
        <v>2025</v>
      </c>
      <c r="U339" t="s">
        <v>2133</v>
      </c>
      <c r="Y339" t="s">
        <v>2241</v>
      </c>
      <c r="AC339" t="s">
        <v>2349</v>
      </c>
    </row>
    <row r="340" spans="1:29" x14ac:dyDescent="0.25">
      <c r="A340" t="s">
        <v>28</v>
      </c>
      <c r="E340" t="s">
        <v>16</v>
      </c>
      <c r="I340" t="s">
        <v>28</v>
      </c>
      <c r="M340" t="s">
        <v>28</v>
      </c>
      <c r="Q340" t="s">
        <v>28</v>
      </c>
      <c r="U340" t="s">
        <v>16</v>
      </c>
      <c r="Y340" t="s">
        <v>28</v>
      </c>
      <c r="AC340" t="s">
        <v>16</v>
      </c>
    </row>
    <row r="341" spans="1:29" x14ac:dyDescent="0.25">
      <c r="A341" t="s">
        <v>721</v>
      </c>
      <c r="E341" t="s">
        <v>1714</v>
      </c>
      <c r="I341" t="s">
        <v>1816</v>
      </c>
      <c r="M341" t="s">
        <v>1920</v>
      </c>
      <c r="Q341" t="s">
        <v>2026</v>
      </c>
      <c r="U341" t="s">
        <v>2134</v>
      </c>
      <c r="Y341" t="s">
        <v>2242</v>
      </c>
      <c r="AC341" t="s">
        <v>2350</v>
      </c>
    </row>
    <row r="342" spans="1:29" x14ac:dyDescent="0.25">
      <c r="A342" t="s">
        <v>30</v>
      </c>
      <c r="E342" t="s">
        <v>18</v>
      </c>
      <c r="I342" t="s">
        <v>30</v>
      </c>
      <c r="M342" t="s">
        <v>30</v>
      </c>
      <c r="Q342" t="s">
        <v>30</v>
      </c>
      <c r="U342" t="s">
        <v>18</v>
      </c>
      <c r="Y342" t="s">
        <v>30</v>
      </c>
      <c r="AC342" t="s">
        <v>18</v>
      </c>
    </row>
    <row r="343" spans="1:29" x14ac:dyDescent="0.25">
      <c r="A343" t="s">
        <v>31</v>
      </c>
      <c r="E343" t="s">
        <v>19</v>
      </c>
      <c r="I343" t="s">
        <v>31</v>
      </c>
      <c r="M343" t="s">
        <v>31</v>
      </c>
      <c r="Q343" t="s">
        <v>31</v>
      </c>
      <c r="U343" t="s">
        <v>19</v>
      </c>
      <c r="Y343" t="s">
        <v>31</v>
      </c>
      <c r="AC343" t="s">
        <v>19</v>
      </c>
    </row>
    <row r="344" spans="1:29" x14ac:dyDescent="0.25">
      <c r="A344" t="s">
        <v>32</v>
      </c>
      <c r="E344" t="s">
        <v>20</v>
      </c>
      <c r="I344" t="s">
        <v>32</v>
      </c>
      <c r="M344" t="s">
        <v>32</v>
      </c>
      <c r="Q344" t="s">
        <v>32</v>
      </c>
      <c r="U344" t="s">
        <v>20</v>
      </c>
      <c r="Y344" t="s">
        <v>32</v>
      </c>
      <c r="AC344" t="s">
        <v>20</v>
      </c>
    </row>
    <row r="345" spans="1:29" x14ac:dyDescent="0.25">
      <c r="A345" t="s">
        <v>1611</v>
      </c>
      <c r="E345" t="s">
        <v>1715</v>
      </c>
      <c r="I345" t="s">
        <v>1817</v>
      </c>
      <c r="M345" t="s">
        <v>1921</v>
      </c>
      <c r="Q345" t="s">
        <v>2027</v>
      </c>
      <c r="U345" t="s">
        <v>2135</v>
      </c>
      <c r="Y345" t="s">
        <v>314</v>
      </c>
      <c r="AC345" t="s">
        <v>1579</v>
      </c>
    </row>
    <row r="346" spans="1:29" x14ac:dyDescent="0.25">
      <c r="A346" t="s">
        <v>34</v>
      </c>
      <c r="E346" t="s">
        <v>22</v>
      </c>
      <c r="I346" t="s">
        <v>34</v>
      </c>
      <c r="M346" t="s">
        <v>34</v>
      </c>
      <c r="Q346" t="s">
        <v>34</v>
      </c>
      <c r="U346" t="s">
        <v>22</v>
      </c>
      <c r="Y346" t="s">
        <v>34</v>
      </c>
      <c r="AC346" t="s">
        <v>22</v>
      </c>
    </row>
    <row r="347" spans="1:29" x14ac:dyDescent="0.25">
      <c r="A347" t="s">
        <v>1612</v>
      </c>
      <c r="E347" t="s">
        <v>1716</v>
      </c>
      <c r="I347" t="s">
        <v>1818</v>
      </c>
      <c r="M347" t="s">
        <v>1922</v>
      </c>
      <c r="Q347" t="s">
        <v>2028</v>
      </c>
      <c r="U347" t="s">
        <v>2136</v>
      </c>
      <c r="Y347" t="s">
        <v>2243</v>
      </c>
      <c r="AC347" t="s">
        <v>1580</v>
      </c>
    </row>
    <row r="348" spans="1:29" x14ac:dyDescent="0.25">
      <c r="A348" t="s">
        <v>36</v>
      </c>
      <c r="E348" t="s">
        <v>24</v>
      </c>
      <c r="I348" t="s">
        <v>36</v>
      </c>
      <c r="M348" t="s">
        <v>36</v>
      </c>
      <c r="Q348" t="s">
        <v>36</v>
      </c>
      <c r="U348" t="s">
        <v>24</v>
      </c>
      <c r="Y348" t="s">
        <v>36</v>
      </c>
      <c r="AC348" t="s">
        <v>24</v>
      </c>
    </row>
    <row r="349" spans="1:29" x14ac:dyDescent="0.25">
      <c r="A349" t="s">
        <v>37</v>
      </c>
      <c r="E349" t="s">
        <v>25</v>
      </c>
      <c r="I349" t="s">
        <v>37</v>
      </c>
      <c r="M349" t="s">
        <v>37</v>
      </c>
      <c r="Q349" t="s">
        <v>37</v>
      </c>
      <c r="U349" t="s">
        <v>25</v>
      </c>
      <c r="Y349" t="s">
        <v>37</v>
      </c>
      <c r="AC349" t="s">
        <v>25</v>
      </c>
    </row>
    <row r="350" spans="1:29" x14ac:dyDescent="0.25">
      <c r="A350" t="s">
        <v>38</v>
      </c>
      <c r="E350" t="s">
        <v>26</v>
      </c>
      <c r="I350" t="s">
        <v>38</v>
      </c>
      <c r="M350" t="s">
        <v>38</v>
      </c>
      <c r="Q350" t="s">
        <v>38</v>
      </c>
      <c r="U350" t="s">
        <v>26</v>
      </c>
      <c r="Y350" t="s">
        <v>38</v>
      </c>
      <c r="AC350" t="s">
        <v>26</v>
      </c>
    </row>
    <row r="352" spans="1:29" x14ac:dyDescent="0.25">
      <c r="A352" t="s">
        <v>14</v>
      </c>
      <c r="E352" t="s">
        <v>8</v>
      </c>
      <c r="I352" t="s">
        <v>14</v>
      </c>
      <c r="M352" t="s">
        <v>14</v>
      </c>
      <c r="Q352" t="s">
        <v>14</v>
      </c>
      <c r="U352" t="s">
        <v>8</v>
      </c>
      <c r="Y352" t="s">
        <v>14</v>
      </c>
      <c r="AC352" t="s">
        <v>8</v>
      </c>
    </row>
    <row r="353" spans="1:29" x14ac:dyDescent="0.25">
      <c r="A353" t="s">
        <v>15</v>
      </c>
      <c r="E353" t="s">
        <v>9</v>
      </c>
      <c r="I353" t="s">
        <v>15</v>
      </c>
      <c r="M353" t="s">
        <v>15</v>
      </c>
      <c r="Q353" t="s">
        <v>15</v>
      </c>
      <c r="U353" t="s">
        <v>9</v>
      </c>
      <c r="Y353" t="s">
        <v>15</v>
      </c>
      <c r="AC353" t="s">
        <v>9</v>
      </c>
    </row>
    <row r="354" spans="1:29" x14ac:dyDescent="0.25">
      <c r="A354" t="s">
        <v>1613</v>
      </c>
      <c r="E354" t="s">
        <v>1717</v>
      </c>
      <c r="I354" t="s">
        <v>1819</v>
      </c>
      <c r="M354" t="s">
        <v>1923</v>
      </c>
      <c r="Q354" t="s">
        <v>2029</v>
      </c>
      <c r="U354" t="s">
        <v>2137</v>
      </c>
      <c r="Y354" t="s">
        <v>2244</v>
      </c>
      <c r="AC354" t="s">
        <v>2351</v>
      </c>
    </row>
    <row r="355" spans="1:29" x14ac:dyDescent="0.25">
      <c r="A355" t="s">
        <v>16</v>
      </c>
      <c r="E355" t="s">
        <v>28</v>
      </c>
      <c r="I355" t="s">
        <v>16</v>
      </c>
      <c r="M355" t="s">
        <v>16</v>
      </c>
      <c r="Q355" t="s">
        <v>16</v>
      </c>
      <c r="U355" t="s">
        <v>28</v>
      </c>
      <c r="Y355" t="s">
        <v>16</v>
      </c>
      <c r="AC355" t="s">
        <v>28</v>
      </c>
    </row>
    <row r="356" spans="1:29" x14ac:dyDescent="0.25">
      <c r="A356" t="s">
        <v>1614</v>
      </c>
      <c r="E356" t="s">
        <v>1718</v>
      </c>
      <c r="I356" t="s">
        <v>1530</v>
      </c>
      <c r="M356" t="s">
        <v>1600</v>
      </c>
      <c r="Q356" t="s">
        <v>1950</v>
      </c>
      <c r="U356" t="s">
        <v>2138</v>
      </c>
      <c r="Y356" t="s">
        <v>2245</v>
      </c>
      <c r="AC356" t="s">
        <v>2352</v>
      </c>
    </row>
    <row r="357" spans="1:29" x14ac:dyDescent="0.25">
      <c r="A357" t="s">
        <v>18</v>
      </c>
      <c r="E357" t="s">
        <v>30</v>
      </c>
      <c r="I357" t="s">
        <v>18</v>
      </c>
      <c r="M357" t="s">
        <v>18</v>
      </c>
      <c r="Q357" t="s">
        <v>18</v>
      </c>
      <c r="U357" t="s">
        <v>30</v>
      </c>
      <c r="Y357" t="s">
        <v>18</v>
      </c>
      <c r="AC357" t="s">
        <v>30</v>
      </c>
    </row>
    <row r="358" spans="1:29" x14ac:dyDescent="0.25">
      <c r="A358" t="s">
        <v>19</v>
      </c>
      <c r="E358" t="s">
        <v>31</v>
      </c>
      <c r="I358" t="s">
        <v>19</v>
      </c>
      <c r="M358" t="s">
        <v>19</v>
      </c>
      <c r="Q358" t="s">
        <v>19</v>
      </c>
      <c r="U358" t="s">
        <v>31</v>
      </c>
      <c r="Y358" t="s">
        <v>19</v>
      </c>
      <c r="AC358" t="s">
        <v>31</v>
      </c>
    </row>
    <row r="359" spans="1:29" x14ac:dyDescent="0.25">
      <c r="A359" t="s">
        <v>20</v>
      </c>
      <c r="E359" t="s">
        <v>32</v>
      </c>
      <c r="I359" t="s">
        <v>20</v>
      </c>
      <c r="M359" t="s">
        <v>20</v>
      </c>
      <c r="Q359" t="s">
        <v>20</v>
      </c>
      <c r="U359" t="s">
        <v>32</v>
      </c>
      <c r="Y359" t="s">
        <v>20</v>
      </c>
      <c r="AC359" t="s">
        <v>32</v>
      </c>
    </row>
    <row r="360" spans="1:29" x14ac:dyDescent="0.25">
      <c r="A360" t="s">
        <v>1615</v>
      </c>
      <c r="E360" t="s">
        <v>1719</v>
      </c>
      <c r="I360" t="s">
        <v>1820</v>
      </c>
      <c r="M360" t="s">
        <v>1924</v>
      </c>
      <c r="Q360" t="s">
        <v>2030</v>
      </c>
      <c r="U360" t="s">
        <v>2139</v>
      </c>
      <c r="Y360" t="s">
        <v>2246</v>
      </c>
      <c r="AC360" t="s">
        <v>2353</v>
      </c>
    </row>
    <row r="361" spans="1:29" x14ac:dyDescent="0.25">
      <c r="A361" t="s">
        <v>22</v>
      </c>
      <c r="E361" t="s">
        <v>34</v>
      </c>
      <c r="I361" t="s">
        <v>22</v>
      </c>
      <c r="M361" t="s">
        <v>22</v>
      </c>
      <c r="Q361" t="s">
        <v>22</v>
      </c>
      <c r="U361" t="s">
        <v>34</v>
      </c>
      <c r="Y361" t="s">
        <v>22</v>
      </c>
      <c r="AC361" t="s">
        <v>34</v>
      </c>
    </row>
    <row r="362" spans="1:29" x14ac:dyDescent="0.25">
      <c r="A362" t="s">
        <v>1616</v>
      </c>
      <c r="E362" t="s">
        <v>1720</v>
      </c>
      <c r="I362" t="s">
        <v>1821</v>
      </c>
      <c r="M362" t="s">
        <v>1925</v>
      </c>
      <c r="Q362" t="s">
        <v>848</v>
      </c>
      <c r="U362" t="s">
        <v>2140</v>
      </c>
      <c r="Y362" t="s">
        <v>2247</v>
      </c>
      <c r="AC362" t="s">
        <v>2354</v>
      </c>
    </row>
    <row r="363" spans="1:29" x14ac:dyDescent="0.25">
      <c r="A363" t="s">
        <v>24</v>
      </c>
      <c r="E363" t="s">
        <v>36</v>
      </c>
      <c r="I363" t="s">
        <v>24</v>
      </c>
      <c r="M363" t="s">
        <v>24</v>
      </c>
      <c r="Q363" t="s">
        <v>24</v>
      </c>
      <c r="U363" t="s">
        <v>36</v>
      </c>
      <c r="Y363" t="s">
        <v>24</v>
      </c>
      <c r="AC363" t="s">
        <v>36</v>
      </c>
    </row>
    <row r="364" spans="1:29" x14ac:dyDescent="0.25">
      <c r="A364" t="s">
        <v>25</v>
      </c>
      <c r="E364" t="s">
        <v>37</v>
      </c>
      <c r="I364" t="s">
        <v>25</v>
      </c>
      <c r="M364" t="s">
        <v>25</v>
      </c>
      <c r="Q364" t="s">
        <v>25</v>
      </c>
      <c r="U364" t="s">
        <v>37</v>
      </c>
      <c r="Y364" t="s">
        <v>25</v>
      </c>
      <c r="AC364" t="s">
        <v>37</v>
      </c>
    </row>
    <row r="365" spans="1:29" x14ac:dyDescent="0.25">
      <c r="A365" t="s">
        <v>26</v>
      </c>
      <c r="E365" t="s">
        <v>38</v>
      </c>
      <c r="I365" t="s">
        <v>26</v>
      </c>
      <c r="M365" t="s">
        <v>26</v>
      </c>
      <c r="Q365" t="s">
        <v>26</v>
      </c>
      <c r="U365" t="s">
        <v>38</v>
      </c>
      <c r="Y365" t="s">
        <v>26</v>
      </c>
      <c r="AC365" t="s">
        <v>38</v>
      </c>
    </row>
    <row r="367" spans="1:29" x14ac:dyDescent="0.25">
      <c r="A367" t="s">
        <v>8</v>
      </c>
      <c r="E367" t="s">
        <v>14</v>
      </c>
      <c r="I367" t="s">
        <v>8</v>
      </c>
      <c r="M367" t="s">
        <v>8</v>
      </c>
      <c r="Q367" t="s">
        <v>8</v>
      </c>
      <c r="U367" t="s">
        <v>14</v>
      </c>
      <c r="Y367" t="s">
        <v>8</v>
      </c>
      <c r="AC367" t="s">
        <v>14</v>
      </c>
    </row>
    <row r="368" spans="1:29" x14ac:dyDescent="0.25">
      <c r="A368" t="s">
        <v>9</v>
      </c>
      <c r="E368" t="s">
        <v>15</v>
      </c>
      <c r="I368" t="s">
        <v>9</v>
      </c>
      <c r="M368" t="s">
        <v>9</v>
      </c>
      <c r="Q368" t="s">
        <v>9</v>
      </c>
      <c r="U368" t="s">
        <v>15</v>
      </c>
      <c r="Y368" t="s">
        <v>9</v>
      </c>
      <c r="AC368" t="s">
        <v>15</v>
      </c>
    </row>
    <row r="369" spans="1:29" x14ac:dyDescent="0.25">
      <c r="A369" t="s">
        <v>1617</v>
      </c>
      <c r="E369" t="s">
        <v>1721</v>
      </c>
      <c r="I369" t="s">
        <v>1822</v>
      </c>
      <c r="M369" t="s">
        <v>1926</v>
      </c>
      <c r="Q369" t="s">
        <v>2031</v>
      </c>
      <c r="U369" t="s">
        <v>2141</v>
      </c>
      <c r="Y369" t="s">
        <v>2248</v>
      </c>
      <c r="AC369" t="s">
        <v>2355</v>
      </c>
    </row>
    <row r="370" spans="1:29" x14ac:dyDescent="0.25">
      <c r="A370" t="s">
        <v>28</v>
      </c>
      <c r="E370" t="s">
        <v>16</v>
      </c>
      <c r="I370" t="s">
        <v>28</v>
      </c>
      <c r="M370" t="s">
        <v>28</v>
      </c>
      <c r="Q370" t="s">
        <v>28</v>
      </c>
      <c r="U370" t="s">
        <v>16</v>
      </c>
      <c r="Y370" t="s">
        <v>28</v>
      </c>
      <c r="AC370" t="s">
        <v>16</v>
      </c>
    </row>
    <row r="371" spans="1:29" x14ac:dyDescent="0.25">
      <c r="A371" t="s">
        <v>1574</v>
      </c>
      <c r="E371" t="s">
        <v>1722</v>
      </c>
      <c r="I371" t="s">
        <v>1816</v>
      </c>
      <c r="M371" t="s">
        <v>1566</v>
      </c>
      <c r="Q371" t="s">
        <v>1975</v>
      </c>
      <c r="U371" t="s">
        <v>2142</v>
      </c>
      <c r="Y371" t="s">
        <v>2249</v>
      </c>
      <c r="AC371" t="s">
        <v>2356</v>
      </c>
    </row>
    <row r="372" spans="1:29" x14ac:dyDescent="0.25">
      <c r="A372" t="s">
        <v>30</v>
      </c>
      <c r="E372" t="s">
        <v>18</v>
      </c>
      <c r="I372" t="s">
        <v>30</v>
      </c>
      <c r="M372" t="s">
        <v>30</v>
      </c>
      <c r="Q372" t="s">
        <v>30</v>
      </c>
      <c r="U372" t="s">
        <v>18</v>
      </c>
      <c r="Y372" t="s">
        <v>30</v>
      </c>
      <c r="AC372" t="s">
        <v>18</v>
      </c>
    </row>
    <row r="373" spans="1:29" x14ac:dyDescent="0.25">
      <c r="A373" t="s">
        <v>31</v>
      </c>
      <c r="E373" t="s">
        <v>19</v>
      </c>
      <c r="I373" t="s">
        <v>31</v>
      </c>
      <c r="M373" t="s">
        <v>31</v>
      </c>
      <c r="Q373" t="s">
        <v>31</v>
      </c>
      <c r="U373" t="s">
        <v>19</v>
      </c>
      <c r="Y373" t="s">
        <v>31</v>
      </c>
      <c r="AC373" t="s">
        <v>19</v>
      </c>
    </row>
    <row r="374" spans="1:29" x14ac:dyDescent="0.25">
      <c r="A374" t="s">
        <v>32</v>
      </c>
      <c r="E374" t="s">
        <v>20</v>
      </c>
      <c r="I374" t="s">
        <v>32</v>
      </c>
      <c r="M374" t="s">
        <v>32</v>
      </c>
      <c r="Q374" t="s">
        <v>32</v>
      </c>
      <c r="U374" t="s">
        <v>20</v>
      </c>
      <c r="Y374" t="s">
        <v>32</v>
      </c>
      <c r="AC374" t="s">
        <v>20</v>
      </c>
    </row>
    <row r="375" spans="1:29" x14ac:dyDescent="0.25">
      <c r="A375" t="s">
        <v>1618</v>
      </c>
      <c r="E375" t="s">
        <v>1723</v>
      </c>
      <c r="I375" t="s">
        <v>1823</v>
      </c>
      <c r="M375" t="s">
        <v>1927</v>
      </c>
      <c r="Q375" t="s">
        <v>2032</v>
      </c>
      <c r="U375" t="s">
        <v>2143</v>
      </c>
      <c r="Y375" t="s">
        <v>2250</v>
      </c>
      <c r="AC375" t="s">
        <v>2357</v>
      </c>
    </row>
    <row r="376" spans="1:29" x14ac:dyDescent="0.25">
      <c r="A376" t="s">
        <v>34</v>
      </c>
      <c r="E376" t="s">
        <v>22</v>
      </c>
      <c r="I376" t="s">
        <v>34</v>
      </c>
      <c r="M376" t="s">
        <v>34</v>
      </c>
      <c r="Q376" t="s">
        <v>34</v>
      </c>
      <c r="U376" t="s">
        <v>22</v>
      </c>
      <c r="Y376" t="s">
        <v>34</v>
      </c>
      <c r="AC376" t="s">
        <v>22</v>
      </c>
    </row>
    <row r="377" spans="1:29" x14ac:dyDescent="0.25">
      <c r="A377" t="s">
        <v>1619</v>
      </c>
      <c r="E377" t="s">
        <v>1724</v>
      </c>
      <c r="I377" t="s">
        <v>1824</v>
      </c>
      <c r="M377" t="s">
        <v>1928</v>
      </c>
      <c r="Q377" t="s">
        <v>2033</v>
      </c>
      <c r="U377" t="s">
        <v>895</v>
      </c>
      <c r="Y377" t="s">
        <v>2251</v>
      </c>
      <c r="AC377" t="s">
        <v>2358</v>
      </c>
    </row>
    <row r="378" spans="1:29" x14ac:dyDescent="0.25">
      <c r="A378" t="s">
        <v>36</v>
      </c>
      <c r="E378" t="s">
        <v>24</v>
      </c>
      <c r="I378" t="s">
        <v>36</v>
      </c>
      <c r="M378" t="s">
        <v>36</v>
      </c>
      <c r="Q378" t="s">
        <v>36</v>
      </c>
      <c r="U378" t="s">
        <v>24</v>
      </c>
      <c r="Y378" t="s">
        <v>36</v>
      </c>
      <c r="AC378" t="s">
        <v>24</v>
      </c>
    </row>
    <row r="379" spans="1:29" x14ac:dyDescent="0.25">
      <c r="A379" t="s">
        <v>37</v>
      </c>
      <c r="E379" t="s">
        <v>25</v>
      </c>
      <c r="I379" t="s">
        <v>37</v>
      </c>
      <c r="M379" t="s">
        <v>37</v>
      </c>
      <c r="Q379" t="s">
        <v>37</v>
      </c>
      <c r="U379" t="s">
        <v>25</v>
      </c>
      <c r="Y379" t="s">
        <v>37</v>
      </c>
      <c r="AC379" t="s">
        <v>25</v>
      </c>
    </row>
    <row r="380" spans="1:29" x14ac:dyDescent="0.25">
      <c r="A380" t="s">
        <v>38</v>
      </c>
      <c r="E380" t="s">
        <v>26</v>
      </c>
      <c r="I380" t="s">
        <v>38</v>
      </c>
      <c r="M380" t="s">
        <v>38</v>
      </c>
      <c r="Q380" t="s">
        <v>38</v>
      </c>
      <c r="U380" t="s">
        <v>26</v>
      </c>
      <c r="Y380" t="s">
        <v>38</v>
      </c>
      <c r="AC380" t="s">
        <v>26</v>
      </c>
    </row>
    <row r="382" spans="1:29" x14ac:dyDescent="0.25">
      <c r="A382" t="s">
        <v>14</v>
      </c>
      <c r="E382" t="s">
        <v>8</v>
      </c>
      <c r="I382" t="s">
        <v>14</v>
      </c>
      <c r="M382" t="s">
        <v>14</v>
      </c>
      <c r="Q382" t="s">
        <v>14</v>
      </c>
      <c r="U382" t="s">
        <v>8</v>
      </c>
      <c r="Y382" t="s">
        <v>14</v>
      </c>
      <c r="AC382" t="s">
        <v>8</v>
      </c>
    </row>
    <row r="383" spans="1:29" x14ac:dyDescent="0.25">
      <c r="A383" t="s">
        <v>15</v>
      </c>
      <c r="E383" t="s">
        <v>9</v>
      </c>
      <c r="I383" t="s">
        <v>15</v>
      </c>
      <c r="M383" t="s">
        <v>15</v>
      </c>
      <c r="Q383" t="s">
        <v>15</v>
      </c>
      <c r="U383" t="s">
        <v>9</v>
      </c>
      <c r="Y383" t="s">
        <v>15</v>
      </c>
      <c r="AC383" t="s">
        <v>9</v>
      </c>
    </row>
    <row r="384" spans="1:29" x14ac:dyDescent="0.25">
      <c r="A384" t="s">
        <v>1620</v>
      </c>
      <c r="E384" t="s">
        <v>1725</v>
      </c>
      <c r="I384" t="s">
        <v>1825</v>
      </c>
      <c r="M384" t="s">
        <v>1929</v>
      </c>
      <c r="Q384" t="s">
        <v>2034</v>
      </c>
      <c r="U384" t="s">
        <v>2144</v>
      </c>
      <c r="Y384" t="s">
        <v>2252</v>
      </c>
      <c r="AC384" t="s">
        <v>2359</v>
      </c>
    </row>
    <row r="385" spans="1:29" x14ac:dyDescent="0.25">
      <c r="A385" t="s">
        <v>16</v>
      </c>
      <c r="E385" t="s">
        <v>28</v>
      </c>
      <c r="I385" t="s">
        <v>16</v>
      </c>
      <c r="M385" t="s">
        <v>16</v>
      </c>
      <c r="Q385" t="s">
        <v>16</v>
      </c>
      <c r="U385" t="s">
        <v>28</v>
      </c>
      <c r="Y385" t="s">
        <v>16</v>
      </c>
      <c r="AC385" t="s">
        <v>28</v>
      </c>
    </row>
    <row r="386" spans="1:29" x14ac:dyDescent="0.25">
      <c r="A386" t="s">
        <v>1600</v>
      </c>
      <c r="E386" t="s">
        <v>1726</v>
      </c>
      <c r="I386" t="s">
        <v>1826</v>
      </c>
      <c r="M386" t="s">
        <v>1930</v>
      </c>
      <c r="Q386" t="s">
        <v>1995</v>
      </c>
      <c r="U386" t="s">
        <v>2145</v>
      </c>
      <c r="Y386" t="s">
        <v>2253</v>
      </c>
      <c r="AC386" t="s">
        <v>2360</v>
      </c>
    </row>
    <row r="387" spans="1:29" x14ac:dyDescent="0.25">
      <c r="A387" t="s">
        <v>18</v>
      </c>
      <c r="E387" t="s">
        <v>30</v>
      </c>
      <c r="I387" t="s">
        <v>18</v>
      </c>
      <c r="M387" t="s">
        <v>18</v>
      </c>
      <c r="Q387" t="s">
        <v>18</v>
      </c>
      <c r="U387" t="s">
        <v>30</v>
      </c>
      <c r="Y387" t="s">
        <v>18</v>
      </c>
      <c r="AC387" t="s">
        <v>30</v>
      </c>
    </row>
    <row r="388" spans="1:29" x14ac:dyDescent="0.25">
      <c r="A388" t="s">
        <v>19</v>
      </c>
      <c r="E388" t="s">
        <v>31</v>
      </c>
      <c r="I388" t="s">
        <v>19</v>
      </c>
      <c r="M388" t="s">
        <v>19</v>
      </c>
      <c r="Q388" t="s">
        <v>19</v>
      </c>
      <c r="U388" t="s">
        <v>31</v>
      </c>
      <c r="Y388" t="s">
        <v>19</v>
      </c>
      <c r="AC388" t="s">
        <v>31</v>
      </c>
    </row>
    <row r="389" spans="1:29" x14ac:dyDescent="0.25">
      <c r="A389" t="s">
        <v>20</v>
      </c>
      <c r="E389" t="s">
        <v>32</v>
      </c>
      <c r="I389" t="s">
        <v>20</v>
      </c>
      <c r="M389" t="s">
        <v>20</v>
      </c>
      <c r="Q389" t="s">
        <v>20</v>
      </c>
      <c r="U389" t="s">
        <v>32</v>
      </c>
      <c r="Y389" t="s">
        <v>20</v>
      </c>
      <c r="AC389" t="s">
        <v>32</v>
      </c>
    </row>
    <row r="390" spans="1:29" x14ac:dyDescent="0.25">
      <c r="A390" t="s">
        <v>1621</v>
      </c>
      <c r="E390" t="s">
        <v>1727</v>
      </c>
      <c r="I390" t="s">
        <v>1827</v>
      </c>
      <c r="M390" t="s">
        <v>1931</v>
      </c>
      <c r="Q390" t="s">
        <v>2035</v>
      </c>
      <c r="U390" t="s">
        <v>2146</v>
      </c>
      <c r="Y390" t="s">
        <v>2254</v>
      </c>
      <c r="AC390" t="s">
        <v>2361</v>
      </c>
    </row>
    <row r="391" spans="1:29" x14ac:dyDescent="0.25">
      <c r="A391" t="s">
        <v>22</v>
      </c>
      <c r="E391" t="s">
        <v>34</v>
      </c>
      <c r="I391" t="s">
        <v>22</v>
      </c>
      <c r="M391" t="s">
        <v>22</v>
      </c>
      <c r="Q391" t="s">
        <v>22</v>
      </c>
      <c r="U391" t="s">
        <v>34</v>
      </c>
      <c r="Y391" t="s">
        <v>22</v>
      </c>
      <c r="AC391" t="s">
        <v>34</v>
      </c>
    </row>
    <row r="392" spans="1:29" x14ac:dyDescent="0.25">
      <c r="A392" t="s">
        <v>1622</v>
      </c>
      <c r="E392" t="s">
        <v>1728</v>
      </c>
      <c r="I392" t="s">
        <v>1828</v>
      </c>
      <c r="M392" t="s">
        <v>1932</v>
      </c>
      <c r="Q392" t="s">
        <v>2036</v>
      </c>
      <c r="U392" t="s">
        <v>2147</v>
      </c>
      <c r="Y392" t="s">
        <v>2255</v>
      </c>
      <c r="AC392" t="s">
        <v>2362</v>
      </c>
    </row>
    <row r="393" spans="1:29" x14ac:dyDescent="0.25">
      <c r="A393" t="s">
        <v>24</v>
      </c>
      <c r="E393" t="s">
        <v>36</v>
      </c>
      <c r="I393" t="s">
        <v>24</v>
      </c>
      <c r="M393" t="s">
        <v>24</v>
      </c>
      <c r="Q393" t="s">
        <v>24</v>
      </c>
      <c r="U393" t="s">
        <v>36</v>
      </c>
      <c r="Y393" t="s">
        <v>24</v>
      </c>
      <c r="AC393" t="s">
        <v>36</v>
      </c>
    </row>
    <row r="394" spans="1:29" x14ac:dyDescent="0.25">
      <c r="A394" t="s">
        <v>25</v>
      </c>
      <c r="E394" t="s">
        <v>37</v>
      </c>
      <c r="I394" t="s">
        <v>25</v>
      </c>
      <c r="M394" t="s">
        <v>25</v>
      </c>
      <c r="Q394" t="s">
        <v>25</v>
      </c>
      <c r="U394" t="s">
        <v>37</v>
      </c>
      <c r="Y394" t="s">
        <v>25</v>
      </c>
      <c r="AC394" t="s">
        <v>37</v>
      </c>
    </row>
    <row r="395" spans="1:29" x14ac:dyDescent="0.25">
      <c r="A395" t="s">
        <v>26</v>
      </c>
      <c r="E395" t="s">
        <v>38</v>
      </c>
      <c r="I395" t="s">
        <v>26</v>
      </c>
      <c r="M395" t="s">
        <v>26</v>
      </c>
      <c r="Q395" t="s">
        <v>26</v>
      </c>
      <c r="U395" t="s">
        <v>38</v>
      </c>
      <c r="Y395" t="s">
        <v>26</v>
      </c>
      <c r="AC395" t="s">
        <v>38</v>
      </c>
    </row>
    <row r="397" spans="1:29" x14ac:dyDescent="0.25">
      <c r="A397" t="s">
        <v>8</v>
      </c>
      <c r="E397" t="s">
        <v>14</v>
      </c>
      <c r="I397" t="s">
        <v>8</v>
      </c>
      <c r="M397" t="s">
        <v>8</v>
      </c>
      <c r="Q397" t="s">
        <v>8</v>
      </c>
      <c r="U397" t="s">
        <v>14</v>
      </c>
      <c r="Y397" t="s">
        <v>8</v>
      </c>
      <c r="AC397" t="s">
        <v>14</v>
      </c>
    </row>
    <row r="398" spans="1:29" x14ac:dyDescent="0.25">
      <c r="A398" t="s">
        <v>9</v>
      </c>
      <c r="E398" t="s">
        <v>15</v>
      </c>
      <c r="I398" t="s">
        <v>9</v>
      </c>
      <c r="M398" t="s">
        <v>9</v>
      </c>
      <c r="Q398" t="s">
        <v>9</v>
      </c>
      <c r="U398" t="s">
        <v>15</v>
      </c>
      <c r="Y398" t="s">
        <v>9</v>
      </c>
      <c r="AC398" t="s">
        <v>15</v>
      </c>
    </row>
    <row r="399" spans="1:29" x14ac:dyDescent="0.25">
      <c r="A399" t="s">
        <v>1623</v>
      </c>
      <c r="E399" t="s">
        <v>1729</v>
      </c>
      <c r="I399" t="s">
        <v>1829</v>
      </c>
      <c r="M399" t="s">
        <v>1933</v>
      </c>
      <c r="Q399" t="s">
        <v>2037</v>
      </c>
      <c r="U399" t="s">
        <v>2148</v>
      </c>
      <c r="Y399" t="s">
        <v>2256</v>
      </c>
      <c r="AC399" t="s">
        <v>2363</v>
      </c>
    </row>
    <row r="400" spans="1:29" x14ac:dyDescent="0.25">
      <c r="A400" t="s">
        <v>28</v>
      </c>
      <c r="E400" t="s">
        <v>16</v>
      </c>
      <c r="I400" t="s">
        <v>28</v>
      </c>
      <c r="M400" t="s">
        <v>28</v>
      </c>
      <c r="Q400" t="s">
        <v>28</v>
      </c>
      <c r="U400" t="s">
        <v>16</v>
      </c>
      <c r="Y400" t="s">
        <v>28</v>
      </c>
      <c r="AC400" t="s">
        <v>16</v>
      </c>
    </row>
    <row r="401" spans="1:29" x14ac:dyDescent="0.25">
      <c r="A401" t="s">
        <v>1624</v>
      </c>
      <c r="E401" t="s">
        <v>1730</v>
      </c>
      <c r="I401" t="s">
        <v>1830</v>
      </c>
      <c r="M401" t="s">
        <v>1590</v>
      </c>
      <c r="Q401" t="s">
        <v>2038</v>
      </c>
      <c r="U401" t="s">
        <v>2149</v>
      </c>
      <c r="Y401" t="s">
        <v>2257</v>
      </c>
      <c r="AC401" t="s">
        <v>2364</v>
      </c>
    </row>
    <row r="402" spans="1:29" x14ac:dyDescent="0.25">
      <c r="A402" t="s">
        <v>30</v>
      </c>
      <c r="E402" t="s">
        <v>18</v>
      </c>
      <c r="I402" t="s">
        <v>30</v>
      </c>
      <c r="M402" t="s">
        <v>30</v>
      </c>
      <c r="Q402" t="s">
        <v>30</v>
      </c>
      <c r="U402" t="s">
        <v>18</v>
      </c>
      <c r="Y402" t="s">
        <v>30</v>
      </c>
      <c r="AC402" t="s">
        <v>18</v>
      </c>
    </row>
    <row r="403" spans="1:29" x14ac:dyDescent="0.25">
      <c r="A403" t="s">
        <v>31</v>
      </c>
      <c r="E403" t="s">
        <v>19</v>
      </c>
      <c r="I403" t="s">
        <v>31</v>
      </c>
      <c r="M403" t="s">
        <v>31</v>
      </c>
      <c r="Q403" t="s">
        <v>31</v>
      </c>
      <c r="U403" t="s">
        <v>19</v>
      </c>
      <c r="Y403" t="s">
        <v>31</v>
      </c>
      <c r="AC403" t="s">
        <v>19</v>
      </c>
    </row>
    <row r="404" spans="1:29" x14ac:dyDescent="0.25">
      <c r="A404" t="s">
        <v>32</v>
      </c>
      <c r="E404" t="s">
        <v>20</v>
      </c>
      <c r="I404" t="s">
        <v>32</v>
      </c>
      <c r="M404" t="s">
        <v>32</v>
      </c>
      <c r="Q404" t="s">
        <v>32</v>
      </c>
      <c r="U404" t="s">
        <v>20</v>
      </c>
      <c r="Y404" t="s">
        <v>32</v>
      </c>
      <c r="AC404" t="s">
        <v>20</v>
      </c>
    </row>
    <row r="405" spans="1:29" x14ac:dyDescent="0.25">
      <c r="A405" t="s">
        <v>1625</v>
      </c>
      <c r="E405" t="s">
        <v>1731</v>
      </c>
      <c r="I405" t="s">
        <v>1831</v>
      </c>
      <c r="M405" t="s">
        <v>1934</v>
      </c>
      <c r="Q405" t="s">
        <v>2039</v>
      </c>
      <c r="U405" t="s">
        <v>2150</v>
      </c>
      <c r="Y405" t="s">
        <v>2258</v>
      </c>
      <c r="AC405" t="s">
        <v>2365</v>
      </c>
    </row>
    <row r="406" spans="1:29" x14ac:dyDescent="0.25">
      <c r="A406" t="s">
        <v>34</v>
      </c>
      <c r="E406" t="s">
        <v>22</v>
      </c>
      <c r="I406" t="s">
        <v>34</v>
      </c>
      <c r="M406" t="s">
        <v>34</v>
      </c>
      <c r="Q406" t="s">
        <v>34</v>
      </c>
      <c r="U406" t="s">
        <v>22</v>
      </c>
      <c r="Y406" t="s">
        <v>34</v>
      </c>
      <c r="AC406" t="s">
        <v>22</v>
      </c>
    </row>
    <row r="407" spans="1:29" x14ac:dyDescent="0.25">
      <c r="A407" t="s">
        <v>1626</v>
      </c>
      <c r="E407" t="s">
        <v>1732</v>
      </c>
      <c r="I407" t="s">
        <v>1832</v>
      </c>
      <c r="M407" t="s">
        <v>1935</v>
      </c>
      <c r="Q407" t="s">
        <v>2040</v>
      </c>
      <c r="U407" t="s">
        <v>911</v>
      </c>
      <c r="Y407" t="s">
        <v>2259</v>
      </c>
      <c r="AC407" t="s">
        <v>2366</v>
      </c>
    </row>
    <row r="408" spans="1:29" x14ac:dyDescent="0.25">
      <c r="A408" t="s">
        <v>36</v>
      </c>
      <c r="E408" t="s">
        <v>24</v>
      </c>
      <c r="I408" t="s">
        <v>36</v>
      </c>
      <c r="M408" t="s">
        <v>36</v>
      </c>
      <c r="Q408" t="s">
        <v>36</v>
      </c>
      <c r="U408" t="s">
        <v>24</v>
      </c>
      <c r="Y408" t="s">
        <v>36</v>
      </c>
      <c r="AC408" t="s">
        <v>24</v>
      </c>
    </row>
    <row r="409" spans="1:29" x14ac:dyDescent="0.25">
      <c r="A409" t="s">
        <v>37</v>
      </c>
      <c r="E409" t="s">
        <v>25</v>
      </c>
      <c r="I409" t="s">
        <v>37</v>
      </c>
      <c r="M409" t="s">
        <v>37</v>
      </c>
      <c r="Q409" t="s">
        <v>37</v>
      </c>
      <c r="U409" t="s">
        <v>25</v>
      </c>
      <c r="Y409" t="s">
        <v>37</v>
      </c>
      <c r="AC409" t="s">
        <v>25</v>
      </c>
    </row>
    <row r="410" spans="1:29" x14ac:dyDescent="0.25">
      <c r="A410" t="s">
        <v>38</v>
      </c>
      <c r="E410" t="s">
        <v>26</v>
      </c>
      <c r="I410" t="s">
        <v>38</v>
      </c>
      <c r="M410" t="s">
        <v>38</v>
      </c>
      <c r="Q410" t="s">
        <v>38</v>
      </c>
      <c r="U410" t="s">
        <v>26</v>
      </c>
      <c r="Y410" t="s">
        <v>38</v>
      </c>
      <c r="AC410" t="s">
        <v>26</v>
      </c>
    </row>
    <row r="412" spans="1:29" x14ac:dyDescent="0.25">
      <c r="A412" t="s">
        <v>14</v>
      </c>
      <c r="E412" t="s">
        <v>8</v>
      </c>
      <c r="I412" t="s">
        <v>14</v>
      </c>
      <c r="M412" t="s">
        <v>14</v>
      </c>
      <c r="Q412" t="s">
        <v>14</v>
      </c>
      <c r="U412" t="s">
        <v>8</v>
      </c>
      <c r="Y412" t="s">
        <v>14</v>
      </c>
      <c r="AC412" t="s">
        <v>8</v>
      </c>
    </row>
    <row r="413" spans="1:29" x14ac:dyDescent="0.25">
      <c r="A413" t="s">
        <v>15</v>
      </c>
      <c r="E413" t="s">
        <v>9</v>
      </c>
      <c r="I413" t="s">
        <v>15</v>
      </c>
      <c r="M413" t="s">
        <v>15</v>
      </c>
      <c r="Q413" t="s">
        <v>15</v>
      </c>
      <c r="U413" t="s">
        <v>9</v>
      </c>
      <c r="Y413" t="s">
        <v>15</v>
      </c>
      <c r="AC413" t="s">
        <v>9</v>
      </c>
    </row>
    <row r="414" spans="1:29" x14ac:dyDescent="0.25">
      <c r="A414" t="s">
        <v>1627</v>
      </c>
      <c r="E414" t="s">
        <v>1733</v>
      </c>
      <c r="I414" t="s">
        <v>1833</v>
      </c>
      <c r="M414" t="s">
        <v>1936</v>
      </c>
      <c r="Q414" t="s">
        <v>2041</v>
      </c>
      <c r="U414" t="s">
        <v>2151</v>
      </c>
      <c r="Y414" t="s">
        <v>2260</v>
      </c>
      <c r="AC414" t="s">
        <v>2367</v>
      </c>
    </row>
    <row r="415" spans="1:29" x14ac:dyDescent="0.25">
      <c r="A415" t="s">
        <v>16</v>
      </c>
      <c r="E415" t="s">
        <v>28</v>
      </c>
      <c r="I415" t="s">
        <v>16</v>
      </c>
      <c r="M415" t="s">
        <v>16</v>
      </c>
      <c r="Q415" t="s">
        <v>16</v>
      </c>
      <c r="U415" t="s">
        <v>28</v>
      </c>
      <c r="Y415" t="s">
        <v>16</v>
      </c>
      <c r="AC415" t="s">
        <v>28</v>
      </c>
    </row>
    <row r="416" spans="1:29" x14ac:dyDescent="0.25">
      <c r="A416" t="s">
        <v>503</v>
      </c>
      <c r="E416" t="s">
        <v>1734</v>
      </c>
      <c r="I416" t="s">
        <v>1834</v>
      </c>
      <c r="M416" t="s">
        <v>1193</v>
      </c>
      <c r="Q416" t="s">
        <v>1995</v>
      </c>
      <c r="U416" t="s">
        <v>2152</v>
      </c>
      <c r="Y416" t="s">
        <v>2261</v>
      </c>
      <c r="AC416" t="s">
        <v>2368</v>
      </c>
    </row>
    <row r="417" spans="1:29" x14ac:dyDescent="0.25">
      <c r="A417" t="s">
        <v>18</v>
      </c>
      <c r="E417" t="s">
        <v>30</v>
      </c>
      <c r="I417" t="s">
        <v>18</v>
      </c>
      <c r="M417" t="s">
        <v>18</v>
      </c>
      <c r="Q417" t="s">
        <v>18</v>
      </c>
      <c r="U417" t="s">
        <v>30</v>
      </c>
      <c r="Y417" t="s">
        <v>18</v>
      </c>
      <c r="AC417" t="s">
        <v>30</v>
      </c>
    </row>
    <row r="418" spans="1:29" x14ac:dyDescent="0.25">
      <c r="A418" t="s">
        <v>19</v>
      </c>
      <c r="E418" t="s">
        <v>31</v>
      </c>
      <c r="I418" t="s">
        <v>19</v>
      </c>
      <c r="M418" t="s">
        <v>19</v>
      </c>
      <c r="Q418" t="s">
        <v>19</v>
      </c>
      <c r="U418" t="s">
        <v>31</v>
      </c>
      <c r="Y418" t="s">
        <v>19</v>
      </c>
      <c r="AC418" t="s">
        <v>31</v>
      </c>
    </row>
    <row r="419" spans="1:29" x14ac:dyDescent="0.25">
      <c r="A419" t="s">
        <v>20</v>
      </c>
      <c r="E419" t="s">
        <v>32</v>
      </c>
      <c r="I419" t="s">
        <v>20</v>
      </c>
      <c r="M419" t="s">
        <v>20</v>
      </c>
      <c r="Q419" t="s">
        <v>20</v>
      </c>
      <c r="U419" t="s">
        <v>32</v>
      </c>
      <c r="Y419" t="s">
        <v>20</v>
      </c>
      <c r="AC419" t="s">
        <v>32</v>
      </c>
    </row>
    <row r="420" spans="1:29" x14ac:dyDescent="0.25">
      <c r="A420" t="s">
        <v>1628</v>
      </c>
      <c r="E420" t="s">
        <v>1735</v>
      </c>
      <c r="I420" t="s">
        <v>1835</v>
      </c>
      <c r="M420" t="s">
        <v>1937</v>
      </c>
      <c r="Q420" t="s">
        <v>1731</v>
      </c>
      <c r="U420" t="s">
        <v>2153</v>
      </c>
      <c r="Y420" t="s">
        <v>2262</v>
      </c>
      <c r="AC420" t="s">
        <v>2369</v>
      </c>
    </row>
    <row r="421" spans="1:29" x14ac:dyDescent="0.25">
      <c r="A421" t="s">
        <v>22</v>
      </c>
      <c r="E421" t="s">
        <v>34</v>
      </c>
      <c r="I421" t="s">
        <v>22</v>
      </c>
      <c r="M421" t="s">
        <v>22</v>
      </c>
      <c r="Q421" t="s">
        <v>22</v>
      </c>
      <c r="U421" t="s">
        <v>34</v>
      </c>
      <c r="Y421" t="s">
        <v>22</v>
      </c>
      <c r="AC421" t="s">
        <v>34</v>
      </c>
    </row>
    <row r="422" spans="1:29" x14ac:dyDescent="0.25">
      <c r="A422" t="s">
        <v>1629</v>
      </c>
      <c r="E422" t="s">
        <v>1736</v>
      </c>
      <c r="I422" t="s">
        <v>1836</v>
      </c>
      <c r="M422" t="s">
        <v>1938</v>
      </c>
      <c r="Q422" t="s">
        <v>1732</v>
      </c>
      <c r="U422" t="s">
        <v>2154</v>
      </c>
      <c r="Y422" t="s">
        <v>2263</v>
      </c>
      <c r="AC422" t="s">
        <v>2370</v>
      </c>
    </row>
    <row r="423" spans="1:29" x14ac:dyDescent="0.25">
      <c r="A423" t="s">
        <v>24</v>
      </c>
      <c r="E423" t="s">
        <v>36</v>
      </c>
      <c r="I423" t="s">
        <v>24</v>
      </c>
      <c r="M423" t="s">
        <v>24</v>
      </c>
      <c r="Q423" t="s">
        <v>24</v>
      </c>
      <c r="U423" t="s">
        <v>36</v>
      </c>
      <c r="Y423" t="s">
        <v>24</v>
      </c>
      <c r="AC423" t="s">
        <v>36</v>
      </c>
    </row>
    <row r="424" spans="1:29" x14ac:dyDescent="0.25">
      <c r="A424" t="s">
        <v>25</v>
      </c>
      <c r="E424" t="s">
        <v>37</v>
      </c>
      <c r="I424" t="s">
        <v>25</v>
      </c>
      <c r="M424" t="s">
        <v>25</v>
      </c>
      <c r="Q424" t="s">
        <v>25</v>
      </c>
      <c r="U424" t="s">
        <v>37</v>
      </c>
      <c r="Y424" t="s">
        <v>25</v>
      </c>
      <c r="AC424" t="s">
        <v>37</v>
      </c>
    </row>
    <row r="425" spans="1:29" x14ac:dyDescent="0.25">
      <c r="A425" t="s">
        <v>26</v>
      </c>
      <c r="E425" t="s">
        <v>38</v>
      </c>
      <c r="I425" t="s">
        <v>26</v>
      </c>
      <c r="M425" t="s">
        <v>26</v>
      </c>
      <c r="Q425" t="s">
        <v>26</v>
      </c>
      <c r="U425" t="s">
        <v>38</v>
      </c>
      <c r="Y425" t="s">
        <v>26</v>
      </c>
      <c r="AC425" t="s">
        <v>38</v>
      </c>
    </row>
    <row r="427" spans="1:29" x14ac:dyDescent="0.25">
      <c r="A427" t="s">
        <v>8</v>
      </c>
      <c r="E427" t="s">
        <v>14</v>
      </c>
      <c r="I427" t="s">
        <v>8</v>
      </c>
      <c r="M427" t="s">
        <v>8</v>
      </c>
      <c r="Q427" t="s">
        <v>8</v>
      </c>
      <c r="U427" t="s">
        <v>14</v>
      </c>
      <c r="Y427" t="s">
        <v>8</v>
      </c>
      <c r="AC427" t="s">
        <v>14</v>
      </c>
    </row>
    <row r="428" spans="1:29" x14ac:dyDescent="0.25">
      <c r="A428" t="s">
        <v>9</v>
      </c>
      <c r="E428" t="s">
        <v>15</v>
      </c>
      <c r="I428" t="s">
        <v>9</v>
      </c>
      <c r="M428" t="s">
        <v>9</v>
      </c>
      <c r="Q428" t="s">
        <v>9</v>
      </c>
      <c r="U428" t="s">
        <v>15</v>
      </c>
      <c r="Y428" t="s">
        <v>9</v>
      </c>
      <c r="AC428" t="s">
        <v>15</v>
      </c>
    </row>
    <row r="429" spans="1:29" x14ac:dyDescent="0.25">
      <c r="A429" t="s">
        <v>1630</v>
      </c>
      <c r="E429" t="s">
        <v>1737</v>
      </c>
      <c r="I429" t="s">
        <v>1837</v>
      </c>
      <c r="M429" t="s">
        <v>1939</v>
      </c>
      <c r="Q429" t="s">
        <v>2042</v>
      </c>
      <c r="U429" t="s">
        <v>2155</v>
      </c>
      <c r="Y429" t="s">
        <v>2264</v>
      </c>
      <c r="AC429" t="s">
        <v>2371</v>
      </c>
    </row>
    <row r="430" spans="1:29" x14ac:dyDescent="0.25">
      <c r="A430" t="s">
        <v>28</v>
      </c>
      <c r="E430" t="s">
        <v>16</v>
      </c>
      <c r="I430" t="s">
        <v>28</v>
      </c>
      <c r="M430" t="s">
        <v>28</v>
      </c>
      <c r="Q430" t="s">
        <v>28</v>
      </c>
      <c r="U430" t="s">
        <v>16</v>
      </c>
      <c r="Y430" t="s">
        <v>28</v>
      </c>
      <c r="AC430" t="s">
        <v>16</v>
      </c>
    </row>
    <row r="431" spans="1:29" x14ac:dyDescent="0.25">
      <c r="A431" t="s">
        <v>499</v>
      </c>
      <c r="E431" t="s">
        <v>1738</v>
      </c>
      <c r="I431" t="s">
        <v>1838</v>
      </c>
      <c r="M431" t="s">
        <v>1907</v>
      </c>
      <c r="Q431" t="s">
        <v>1983</v>
      </c>
      <c r="U431" t="s">
        <v>2134</v>
      </c>
      <c r="Y431" t="s">
        <v>2265</v>
      </c>
      <c r="AC431" t="s">
        <v>2372</v>
      </c>
    </row>
    <row r="432" spans="1:29" x14ac:dyDescent="0.25">
      <c r="A432" t="s">
        <v>30</v>
      </c>
      <c r="E432" t="s">
        <v>18</v>
      </c>
      <c r="I432" t="s">
        <v>30</v>
      </c>
      <c r="M432" t="s">
        <v>30</v>
      </c>
      <c r="Q432" t="s">
        <v>30</v>
      </c>
      <c r="U432" t="s">
        <v>18</v>
      </c>
      <c r="Y432" t="s">
        <v>30</v>
      </c>
      <c r="AC432" t="s">
        <v>18</v>
      </c>
    </row>
    <row r="433" spans="1:29" x14ac:dyDescent="0.25">
      <c r="A433" t="s">
        <v>31</v>
      </c>
      <c r="E433" t="s">
        <v>19</v>
      </c>
      <c r="I433" t="s">
        <v>31</v>
      </c>
      <c r="M433" t="s">
        <v>31</v>
      </c>
      <c r="Q433" t="s">
        <v>31</v>
      </c>
      <c r="U433" t="s">
        <v>19</v>
      </c>
      <c r="Y433" t="s">
        <v>31</v>
      </c>
      <c r="AC433" t="s">
        <v>19</v>
      </c>
    </row>
    <row r="434" spans="1:29" x14ac:dyDescent="0.25">
      <c r="A434" t="s">
        <v>32</v>
      </c>
      <c r="E434" t="s">
        <v>20</v>
      </c>
      <c r="I434" t="s">
        <v>32</v>
      </c>
      <c r="M434" t="s">
        <v>32</v>
      </c>
      <c r="Q434" t="s">
        <v>32</v>
      </c>
      <c r="U434" t="s">
        <v>20</v>
      </c>
      <c r="Y434" t="s">
        <v>32</v>
      </c>
      <c r="AC434" t="s">
        <v>20</v>
      </c>
    </row>
    <row r="435" spans="1:29" x14ac:dyDescent="0.25">
      <c r="A435" t="s">
        <v>1631</v>
      </c>
      <c r="E435" t="s">
        <v>1739</v>
      </c>
      <c r="I435" t="s">
        <v>1839</v>
      </c>
      <c r="M435" t="s">
        <v>1940</v>
      </c>
      <c r="Q435" t="s">
        <v>2043</v>
      </c>
      <c r="U435" t="s">
        <v>2156</v>
      </c>
      <c r="Y435" t="s">
        <v>2266</v>
      </c>
      <c r="AC435" t="s">
        <v>2373</v>
      </c>
    </row>
    <row r="436" spans="1:29" x14ac:dyDescent="0.25">
      <c r="A436" t="s">
        <v>34</v>
      </c>
      <c r="E436" t="s">
        <v>22</v>
      </c>
      <c r="I436" t="s">
        <v>34</v>
      </c>
      <c r="M436" t="s">
        <v>34</v>
      </c>
      <c r="Q436" t="s">
        <v>34</v>
      </c>
      <c r="U436" t="s">
        <v>22</v>
      </c>
      <c r="Y436" t="s">
        <v>34</v>
      </c>
      <c r="AC436" t="s">
        <v>22</v>
      </c>
    </row>
    <row r="437" spans="1:29" x14ac:dyDescent="0.25">
      <c r="A437" t="s">
        <v>1632</v>
      </c>
      <c r="E437" t="s">
        <v>1740</v>
      </c>
      <c r="I437" t="s">
        <v>1840</v>
      </c>
      <c r="M437" t="s">
        <v>1941</v>
      </c>
      <c r="Q437" t="s">
        <v>2044</v>
      </c>
      <c r="U437" t="s">
        <v>2157</v>
      </c>
      <c r="Y437" t="s">
        <v>2267</v>
      </c>
      <c r="AC437" t="s">
        <v>2374</v>
      </c>
    </row>
    <row r="438" spans="1:29" x14ac:dyDescent="0.25">
      <c r="A438" t="s">
        <v>36</v>
      </c>
      <c r="E438" t="s">
        <v>24</v>
      </c>
      <c r="I438" t="s">
        <v>36</v>
      </c>
      <c r="M438" t="s">
        <v>36</v>
      </c>
      <c r="Q438" t="s">
        <v>36</v>
      </c>
      <c r="U438" t="s">
        <v>24</v>
      </c>
      <c r="Y438" t="s">
        <v>36</v>
      </c>
      <c r="AC438" t="s">
        <v>24</v>
      </c>
    </row>
    <row r="439" spans="1:29" x14ac:dyDescent="0.25">
      <c r="A439" t="s">
        <v>37</v>
      </c>
      <c r="E439" t="s">
        <v>25</v>
      </c>
      <c r="I439" t="s">
        <v>37</v>
      </c>
      <c r="M439" t="s">
        <v>37</v>
      </c>
      <c r="Q439" t="s">
        <v>37</v>
      </c>
      <c r="U439" t="s">
        <v>25</v>
      </c>
      <c r="Y439" t="s">
        <v>37</v>
      </c>
      <c r="AC439" t="s">
        <v>25</v>
      </c>
    </row>
    <row r="440" spans="1:29" x14ac:dyDescent="0.25">
      <c r="A440" t="s">
        <v>38</v>
      </c>
      <c r="E440" t="s">
        <v>26</v>
      </c>
      <c r="I440" t="s">
        <v>38</v>
      </c>
      <c r="M440" t="s">
        <v>38</v>
      </c>
      <c r="Q440" t="s">
        <v>38</v>
      </c>
      <c r="U440" t="s">
        <v>26</v>
      </c>
      <c r="Y440" t="s">
        <v>38</v>
      </c>
      <c r="AC440" t="s">
        <v>26</v>
      </c>
    </row>
    <row r="442" spans="1:29" x14ac:dyDescent="0.25">
      <c r="A442" t="s">
        <v>10</v>
      </c>
      <c r="E442" t="s">
        <v>8</v>
      </c>
      <c r="I442" t="s">
        <v>14</v>
      </c>
      <c r="M442" t="s">
        <v>14</v>
      </c>
      <c r="Q442" t="s">
        <v>14</v>
      </c>
      <c r="U442" t="s">
        <v>8</v>
      </c>
      <c r="Y442" t="s">
        <v>14</v>
      </c>
      <c r="AC442" t="s">
        <v>8</v>
      </c>
    </row>
    <row r="443" spans="1:29" x14ac:dyDescent="0.25">
      <c r="A443" t="s">
        <v>11</v>
      </c>
      <c r="E443" t="s">
        <v>9</v>
      </c>
      <c r="I443" t="s">
        <v>15</v>
      </c>
      <c r="M443" t="s">
        <v>15</v>
      </c>
      <c r="Q443" t="s">
        <v>15</v>
      </c>
      <c r="U443" t="s">
        <v>9</v>
      </c>
      <c r="Y443" t="s">
        <v>15</v>
      </c>
      <c r="AC443" t="s">
        <v>9</v>
      </c>
    </row>
    <row r="444" spans="1:29" x14ac:dyDescent="0.25">
      <c r="A444" t="s">
        <v>12</v>
      </c>
      <c r="E444" t="s">
        <v>1741</v>
      </c>
      <c r="I444" t="s">
        <v>1841</v>
      </c>
      <c r="M444" t="s">
        <v>1942</v>
      </c>
      <c r="Q444" t="s">
        <v>2045</v>
      </c>
      <c r="U444" t="s">
        <v>2158</v>
      </c>
      <c r="Y444" t="s">
        <v>2268</v>
      </c>
      <c r="AC444" t="s">
        <v>2375</v>
      </c>
    </row>
    <row r="445" spans="1:29" x14ac:dyDescent="0.25">
      <c r="A445" t="s">
        <v>13</v>
      </c>
      <c r="E445" t="s">
        <v>28</v>
      </c>
      <c r="I445" t="s">
        <v>16</v>
      </c>
      <c r="M445" t="s">
        <v>16</v>
      </c>
      <c r="Q445" t="s">
        <v>16</v>
      </c>
      <c r="U445" t="s">
        <v>28</v>
      </c>
      <c r="Y445" t="s">
        <v>16</v>
      </c>
      <c r="AC445" t="s">
        <v>28</v>
      </c>
    </row>
    <row r="446" spans="1:29" x14ac:dyDescent="0.25">
      <c r="A446" t="s">
        <v>14</v>
      </c>
      <c r="E446" t="s">
        <v>1534</v>
      </c>
      <c r="I446" t="s">
        <v>1842</v>
      </c>
      <c r="M446" t="s">
        <v>1943</v>
      </c>
      <c r="Q446" t="s">
        <v>2046</v>
      </c>
      <c r="U446" t="s">
        <v>2159</v>
      </c>
      <c r="Y446" t="s">
        <v>2269</v>
      </c>
      <c r="AC446" t="s">
        <v>2376</v>
      </c>
    </row>
    <row r="447" spans="1:29" x14ac:dyDescent="0.25">
      <c r="A447" t="s">
        <v>15</v>
      </c>
      <c r="E447" t="s">
        <v>30</v>
      </c>
      <c r="I447" t="s">
        <v>18</v>
      </c>
      <c r="M447" t="s">
        <v>18</v>
      </c>
      <c r="Q447" t="s">
        <v>18</v>
      </c>
      <c r="U447" t="s">
        <v>30</v>
      </c>
      <c r="Y447" t="s">
        <v>18</v>
      </c>
      <c r="AC447" t="s">
        <v>30</v>
      </c>
    </row>
    <row r="448" spans="1:29" x14ac:dyDescent="0.25">
      <c r="A448" t="s">
        <v>1633</v>
      </c>
      <c r="E448" t="s">
        <v>31</v>
      </c>
      <c r="I448" t="s">
        <v>19</v>
      </c>
      <c r="M448" t="s">
        <v>19</v>
      </c>
      <c r="Q448" t="s">
        <v>19</v>
      </c>
      <c r="U448" t="s">
        <v>31</v>
      </c>
      <c r="Y448" t="s">
        <v>19</v>
      </c>
      <c r="AC448" t="s">
        <v>31</v>
      </c>
    </row>
    <row r="449" spans="1:29" x14ac:dyDescent="0.25">
      <c r="A449" t="s">
        <v>16</v>
      </c>
      <c r="E449" t="s">
        <v>32</v>
      </c>
      <c r="I449" t="s">
        <v>20</v>
      </c>
      <c r="M449" t="s">
        <v>20</v>
      </c>
      <c r="Q449" t="s">
        <v>20</v>
      </c>
      <c r="U449" t="s">
        <v>32</v>
      </c>
      <c r="Y449" t="s">
        <v>20</v>
      </c>
      <c r="AC449" t="s">
        <v>32</v>
      </c>
    </row>
    <row r="450" spans="1:29" x14ac:dyDescent="0.25">
      <c r="A450" t="s">
        <v>1170</v>
      </c>
      <c r="E450" t="s">
        <v>1742</v>
      </c>
      <c r="I450" t="s">
        <v>1843</v>
      </c>
      <c r="M450" t="s">
        <v>1944</v>
      </c>
      <c r="Q450" t="s">
        <v>2047</v>
      </c>
      <c r="U450" t="s">
        <v>2095</v>
      </c>
      <c r="Y450" t="s">
        <v>2270</v>
      </c>
      <c r="AC450" t="s">
        <v>2377</v>
      </c>
    </row>
    <row r="451" spans="1:29" x14ac:dyDescent="0.25">
      <c r="A451" t="s">
        <v>18</v>
      </c>
      <c r="E451" t="s">
        <v>34</v>
      </c>
      <c r="I451" t="s">
        <v>22</v>
      </c>
      <c r="M451" t="s">
        <v>22</v>
      </c>
      <c r="Q451" t="s">
        <v>22</v>
      </c>
      <c r="U451" t="s">
        <v>34</v>
      </c>
      <c r="Y451" t="s">
        <v>22</v>
      </c>
      <c r="AC451" t="s">
        <v>34</v>
      </c>
    </row>
    <row r="452" spans="1:29" x14ac:dyDescent="0.25">
      <c r="A452" t="s">
        <v>19</v>
      </c>
      <c r="E452" t="s">
        <v>1743</v>
      </c>
      <c r="I452" t="s">
        <v>1844</v>
      </c>
      <c r="M452" t="s">
        <v>1945</v>
      </c>
      <c r="Q452" t="s">
        <v>2048</v>
      </c>
      <c r="U452" t="s">
        <v>2096</v>
      </c>
      <c r="Y452" t="s">
        <v>2271</v>
      </c>
      <c r="AC452" t="s">
        <v>2378</v>
      </c>
    </row>
    <row r="453" spans="1:29" x14ac:dyDescent="0.25">
      <c r="A453" t="s">
        <v>20</v>
      </c>
      <c r="E453" t="s">
        <v>36</v>
      </c>
      <c r="I453" t="s">
        <v>24</v>
      </c>
      <c r="M453" t="s">
        <v>24</v>
      </c>
      <c r="Q453" t="s">
        <v>24</v>
      </c>
      <c r="U453" t="s">
        <v>36</v>
      </c>
      <c r="Y453" t="s">
        <v>24</v>
      </c>
      <c r="AC453" t="s">
        <v>36</v>
      </c>
    </row>
    <row r="454" spans="1:29" x14ac:dyDescent="0.25">
      <c r="A454" t="s">
        <v>1634</v>
      </c>
      <c r="E454" t="s">
        <v>37</v>
      </c>
      <c r="I454" t="s">
        <v>25</v>
      </c>
      <c r="M454" t="s">
        <v>25</v>
      </c>
      <c r="Q454" t="s">
        <v>25</v>
      </c>
      <c r="U454" t="s">
        <v>37</v>
      </c>
      <c r="Y454" t="s">
        <v>25</v>
      </c>
      <c r="AC454" t="s">
        <v>37</v>
      </c>
    </row>
    <row r="455" spans="1:29" x14ac:dyDescent="0.25">
      <c r="A455" t="s">
        <v>22</v>
      </c>
      <c r="E455" t="s">
        <v>38</v>
      </c>
      <c r="I455" t="s">
        <v>26</v>
      </c>
      <c r="M455" t="s">
        <v>26</v>
      </c>
      <c r="Q455" t="s">
        <v>26</v>
      </c>
      <c r="U455" t="s">
        <v>38</v>
      </c>
      <c r="Y455" t="s">
        <v>26</v>
      </c>
      <c r="AC455" t="s">
        <v>38</v>
      </c>
    </row>
    <row r="456" spans="1:29" x14ac:dyDescent="0.25">
      <c r="A456" t="s">
        <v>1635</v>
      </c>
    </row>
    <row r="457" spans="1:29" x14ac:dyDescent="0.25">
      <c r="A457" t="s">
        <v>24</v>
      </c>
      <c r="E457" t="s">
        <v>10</v>
      </c>
      <c r="I457" t="s">
        <v>12</v>
      </c>
      <c r="M457" t="s">
        <v>12</v>
      </c>
      <c r="Q457" t="s">
        <v>12</v>
      </c>
      <c r="U457" t="s">
        <v>10</v>
      </c>
      <c r="Y457" t="s">
        <v>12</v>
      </c>
      <c r="AC457" t="s">
        <v>10</v>
      </c>
    </row>
    <row r="458" spans="1:29" x14ac:dyDescent="0.25">
      <c r="A458" t="s">
        <v>25</v>
      </c>
      <c r="E458" t="s">
        <v>11</v>
      </c>
      <c r="I458" t="s">
        <v>13</v>
      </c>
      <c r="M458" t="s">
        <v>13</v>
      </c>
      <c r="Q458" t="s">
        <v>13</v>
      </c>
      <c r="U458" t="s">
        <v>11</v>
      </c>
      <c r="Y458" t="s">
        <v>13</v>
      </c>
      <c r="AC458" t="s">
        <v>11</v>
      </c>
    </row>
    <row r="459" spans="1:29" x14ac:dyDescent="0.25">
      <c r="A459" t="s">
        <v>26</v>
      </c>
      <c r="E459" t="s">
        <v>12</v>
      </c>
      <c r="I459" t="s">
        <v>10</v>
      </c>
      <c r="M459" t="s">
        <v>10</v>
      </c>
      <c r="Q459" t="s">
        <v>10</v>
      </c>
      <c r="U459" t="s">
        <v>12</v>
      </c>
      <c r="Y459" t="s">
        <v>10</v>
      </c>
      <c r="AC459" t="s">
        <v>12</v>
      </c>
    </row>
    <row r="460" spans="1:29" x14ac:dyDescent="0.25">
      <c r="A460" t="s">
        <v>8</v>
      </c>
      <c r="E460" t="s">
        <v>13</v>
      </c>
      <c r="I460" t="s">
        <v>11</v>
      </c>
      <c r="M460" t="s">
        <v>11</v>
      </c>
      <c r="Q460" t="s">
        <v>11</v>
      </c>
      <c r="U460" t="s">
        <v>13</v>
      </c>
      <c r="Y460" t="s">
        <v>11</v>
      </c>
      <c r="AC460" t="s">
        <v>13</v>
      </c>
    </row>
    <row r="461" spans="1:29" x14ac:dyDescent="0.25">
      <c r="A461" t="s">
        <v>9</v>
      </c>
      <c r="E461" t="s">
        <v>14</v>
      </c>
      <c r="I461" t="s">
        <v>8</v>
      </c>
      <c r="M461" t="s">
        <v>8</v>
      </c>
      <c r="Q461" t="s">
        <v>8</v>
      </c>
      <c r="U461" t="s">
        <v>14</v>
      </c>
      <c r="Y461" t="s">
        <v>8</v>
      </c>
      <c r="AC461" t="s">
        <v>14</v>
      </c>
    </row>
    <row r="462" spans="1:29" x14ac:dyDescent="0.25">
      <c r="A462" t="s">
        <v>10</v>
      </c>
      <c r="E462" t="s">
        <v>15</v>
      </c>
      <c r="I462" t="s">
        <v>9</v>
      </c>
      <c r="M462" t="s">
        <v>9</v>
      </c>
      <c r="Q462" t="s">
        <v>9</v>
      </c>
      <c r="U462" t="s">
        <v>15</v>
      </c>
      <c r="Y462" t="s">
        <v>9</v>
      </c>
      <c r="AC462" t="s">
        <v>15</v>
      </c>
    </row>
    <row r="463" spans="1:29" x14ac:dyDescent="0.25">
      <c r="A463" t="s">
        <v>11</v>
      </c>
      <c r="E463" t="s">
        <v>1744</v>
      </c>
      <c r="I463" t="s">
        <v>1845</v>
      </c>
      <c r="M463" t="s">
        <v>1946</v>
      </c>
      <c r="Q463" t="s">
        <v>2049</v>
      </c>
      <c r="U463" t="s">
        <v>2160</v>
      </c>
      <c r="Y463" t="s">
        <v>2272</v>
      </c>
      <c r="AC463" t="s">
        <v>2379</v>
      </c>
    </row>
    <row r="464" spans="1:29" x14ac:dyDescent="0.25">
      <c r="A464" t="s">
        <v>933</v>
      </c>
      <c r="E464" t="s">
        <v>16</v>
      </c>
      <c r="I464" t="s">
        <v>28</v>
      </c>
      <c r="M464" t="s">
        <v>28</v>
      </c>
      <c r="Q464" t="s">
        <v>28</v>
      </c>
      <c r="U464" t="s">
        <v>16</v>
      </c>
      <c r="Y464" t="s">
        <v>28</v>
      </c>
      <c r="AC464" t="s">
        <v>16</v>
      </c>
    </row>
    <row r="465" spans="1:29" x14ac:dyDescent="0.25">
      <c r="A465" t="s">
        <v>934</v>
      </c>
      <c r="E465" t="s">
        <v>1546</v>
      </c>
      <c r="I465" t="s">
        <v>1542</v>
      </c>
      <c r="M465" t="s">
        <v>1150</v>
      </c>
      <c r="Q465" t="s">
        <v>1975</v>
      </c>
      <c r="U465" t="s">
        <v>2161</v>
      </c>
      <c r="Y465" t="s">
        <v>2273</v>
      </c>
      <c r="AC465" t="s">
        <v>2380</v>
      </c>
    </row>
    <row r="466" spans="1:29" x14ac:dyDescent="0.25">
      <c r="A466" t="s">
        <v>935</v>
      </c>
      <c r="E466" t="s">
        <v>18</v>
      </c>
      <c r="I466" t="s">
        <v>30</v>
      </c>
      <c r="M466" t="s">
        <v>30</v>
      </c>
      <c r="Q466" t="s">
        <v>30</v>
      </c>
      <c r="U466" t="s">
        <v>18</v>
      </c>
      <c r="Y466" t="s">
        <v>30</v>
      </c>
      <c r="AC466" t="s">
        <v>18</v>
      </c>
    </row>
    <row r="467" spans="1:29" x14ac:dyDescent="0.25">
      <c r="A467" t="s">
        <v>936</v>
      </c>
      <c r="E467" t="s">
        <v>19</v>
      </c>
      <c r="I467" t="s">
        <v>31</v>
      </c>
      <c r="M467" t="s">
        <v>31</v>
      </c>
      <c r="Q467" t="s">
        <v>31</v>
      </c>
      <c r="U467" t="s">
        <v>19</v>
      </c>
      <c r="Y467" t="s">
        <v>31</v>
      </c>
      <c r="AC467" t="s">
        <v>19</v>
      </c>
    </row>
    <row r="468" spans="1:29" x14ac:dyDescent="0.25">
      <c r="A468" t="s">
        <v>181</v>
      </c>
      <c r="E468" t="s">
        <v>20</v>
      </c>
      <c r="I468" t="s">
        <v>32</v>
      </c>
      <c r="M468" t="s">
        <v>32</v>
      </c>
      <c r="Q468" t="s">
        <v>32</v>
      </c>
      <c r="U468" t="s">
        <v>20</v>
      </c>
      <c r="Y468" t="s">
        <v>32</v>
      </c>
      <c r="AC468" t="s">
        <v>20</v>
      </c>
    </row>
    <row r="469" spans="1:29" x14ac:dyDescent="0.25">
      <c r="A469" t="s">
        <v>182</v>
      </c>
      <c r="E469" t="s">
        <v>1571</v>
      </c>
      <c r="I469" t="s">
        <v>1846</v>
      </c>
      <c r="M469" t="s">
        <v>1947</v>
      </c>
      <c r="Q469" t="s">
        <v>2050</v>
      </c>
      <c r="U469" t="s">
        <v>2162</v>
      </c>
      <c r="Y469" t="s">
        <v>2274</v>
      </c>
      <c r="AC469" t="s">
        <v>2381</v>
      </c>
    </row>
    <row r="470" spans="1:29" x14ac:dyDescent="0.25">
      <c r="A470" t="s">
        <v>14</v>
      </c>
      <c r="E470" t="s">
        <v>22</v>
      </c>
      <c r="I470" t="s">
        <v>34</v>
      </c>
      <c r="M470" t="s">
        <v>34</v>
      </c>
      <c r="Q470" t="s">
        <v>34</v>
      </c>
      <c r="U470" t="s">
        <v>22</v>
      </c>
      <c r="Y470" t="s">
        <v>34</v>
      </c>
      <c r="AC470" t="s">
        <v>22</v>
      </c>
    </row>
    <row r="471" spans="1:29" x14ac:dyDescent="0.25">
      <c r="A471" t="s">
        <v>15</v>
      </c>
      <c r="E471" t="s">
        <v>1572</v>
      </c>
      <c r="I471" t="s">
        <v>1847</v>
      </c>
      <c r="M471" t="s">
        <v>1948</v>
      </c>
      <c r="Q471" t="s">
        <v>2051</v>
      </c>
      <c r="U471" t="s">
        <v>2163</v>
      </c>
      <c r="Y471" t="s">
        <v>2275</v>
      </c>
      <c r="AC471" t="s">
        <v>2382</v>
      </c>
    </row>
    <row r="472" spans="1:29" x14ac:dyDescent="0.25">
      <c r="A472" t="s">
        <v>151</v>
      </c>
      <c r="E472" t="s">
        <v>24</v>
      </c>
      <c r="I472" t="s">
        <v>36</v>
      </c>
      <c r="M472" t="s">
        <v>36</v>
      </c>
      <c r="Q472" t="s">
        <v>36</v>
      </c>
      <c r="U472" t="s">
        <v>24</v>
      </c>
      <c r="Y472" t="s">
        <v>36</v>
      </c>
      <c r="AC472" t="s">
        <v>24</v>
      </c>
    </row>
    <row r="473" spans="1:29" x14ac:dyDescent="0.25">
      <c r="A473" t="s">
        <v>1048</v>
      </c>
      <c r="E473" t="s">
        <v>25</v>
      </c>
      <c r="I473" t="s">
        <v>37</v>
      </c>
      <c r="M473" t="s">
        <v>37</v>
      </c>
      <c r="Q473" t="s">
        <v>37</v>
      </c>
      <c r="U473" t="s">
        <v>25</v>
      </c>
      <c r="Y473" t="s">
        <v>37</v>
      </c>
      <c r="AC473" t="s">
        <v>25</v>
      </c>
    </row>
    <row r="474" spans="1:29" x14ac:dyDescent="0.25">
      <c r="A474" t="s">
        <v>149</v>
      </c>
      <c r="E474" t="s">
        <v>26</v>
      </c>
      <c r="I474" t="s">
        <v>38</v>
      </c>
      <c r="M474" t="s">
        <v>38</v>
      </c>
      <c r="Q474" t="s">
        <v>38</v>
      </c>
      <c r="U474" t="s">
        <v>26</v>
      </c>
      <c r="Y474" t="s">
        <v>38</v>
      </c>
      <c r="AC474" t="s">
        <v>26</v>
      </c>
    </row>
    <row r="475" spans="1:29" x14ac:dyDescent="0.25">
      <c r="A475" t="s">
        <v>1049</v>
      </c>
      <c r="E475" t="s">
        <v>8</v>
      </c>
      <c r="I475" t="s">
        <v>14</v>
      </c>
      <c r="M475" t="s">
        <v>14</v>
      </c>
      <c r="Q475" t="s">
        <v>14</v>
      </c>
      <c r="U475" t="s">
        <v>8</v>
      </c>
      <c r="Y475" t="s">
        <v>14</v>
      </c>
      <c r="AC475" t="s">
        <v>8</v>
      </c>
    </row>
    <row r="476" spans="1:29" x14ac:dyDescent="0.25">
      <c r="A476" t="s">
        <v>151</v>
      </c>
      <c r="E476" t="s">
        <v>9</v>
      </c>
      <c r="I476" t="s">
        <v>15</v>
      </c>
      <c r="M476" t="s">
        <v>15</v>
      </c>
      <c r="Q476" t="s">
        <v>15</v>
      </c>
      <c r="U476" t="s">
        <v>9</v>
      </c>
      <c r="Y476" t="s">
        <v>15</v>
      </c>
      <c r="AC476" t="s">
        <v>9</v>
      </c>
    </row>
    <row r="477" spans="1:29" x14ac:dyDescent="0.25">
      <c r="A477" t="s">
        <v>1050</v>
      </c>
      <c r="E477" t="s">
        <v>10</v>
      </c>
      <c r="I477" t="s">
        <v>12</v>
      </c>
      <c r="M477" t="s">
        <v>12</v>
      </c>
      <c r="Q477" t="s">
        <v>12</v>
      </c>
      <c r="U477" t="s">
        <v>10</v>
      </c>
      <c r="Y477" t="s">
        <v>12</v>
      </c>
      <c r="AC477" t="s">
        <v>10</v>
      </c>
    </row>
    <row r="478" spans="1:29" x14ac:dyDescent="0.25">
      <c r="A478" t="s">
        <v>149</v>
      </c>
      <c r="E478" t="s">
        <v>11</v>
      </c>
      <c r="I478" t="s">
        <v>13</v>
      </c>
      <c r="M478" t="s">
        <v>13</v>
      </c>
      <c r="Q478" t="s">
        <v>13</v>
      </c>
      <c r="U478" t="s">
        <v>11</v>
      </c>
      <c r="Y478" t="s">
        <v>13</v>
      </c>
      <c r="AC478" t="s">
        <v>11</v>
      </c>
    </row>
    <row r="479" spans="1:29" x14ac:dyDescent="0.25">
      <c r="A479" t="s">
        <v>1051</v>
      </c>
      <c r="E479" t="s">
        <v>933</v>
      </c>
      <c r="I479" t="s">
        <v>2</v>
      </c>
      <c r="M479" t="s">
        <v>2</v>
      </c>
      <c r="Q479" t="s">
        <v>2</v>
      </c>
      <c r="U479" t="s">
        <v>933</v>
      </c>
      <c r="Y479" t="s">
        <v>2</v>
      </c>
      <c r="AC479" t="s">
        <v>933</v>
      </c>
    </row>
    <row r="480" spans="1:29" x14ac:dyDescent="0.25">
      <c r="A480" t="s">
        <v>160</v>
      </c>
      <c r="E480" t="s">
        <v>934</v>
      </c>
      <c r="I480" t="s">
        <v>3</v>
      </c>
      <c r="M480" t="s">
        <v>3</v>
      </c>
      <c r="Q480" t="s">
        <v>3</v>
      </c>
      <c r="U480" t="s">
        <v>934</v>
      </c>
      <c r="Y480" t="s">
        <v>3</v>
      </c>
      <c r="AC480" t="s">
        <v>934</v>
      </c>
    </row>
    <row r="481" spans="1:29" x14ac:dyDescent="0.25">
      <c r="A481" t="s">
        <v>1052</v>
      </c>
      <c r="E481" t="s">
        <v>935</v>
      </c>
      <c r="I481" t="s">
        <v>4</v>
      </c>
      <c r="M481" t="s">
        <v>4</v>
      </c>
      <c r="Q481" t="s">
        <v>4</v>
      </c>
      <c r="U481" t="s">
        <v>935</v>
      </c>
      <c r="Y481" t="s">
        <v>4</v>
      </c>
      <c r="AC481" t="s">
        <v>935</v>
      </c>
    </row>
    <row r="482" spans="1:29" x14ac:dyDescent="0.25">
      <c r="A482" t="s">
        <v>1053</v>
      </c>
      <c r="E482" t="s">
        <v>936</v>
      </c>
      <c r="I482" t="s">
        <v>5</v>
      </c>
      <c r="M482" t="s">
        <v>5</v>
      </c>
      <c r="Q482" t="s">
        <v>5</v>
      </c>
      <c r="U482" t="s">
        <v>936</v>
      </c>
      <c r="Y482" t="s">
        <v>5</v>
      </c>
      <c r="AC482" t="s">
        <v>936</v>
      </c>
    </row>
    <row r="483" spans="1:29" x14ac:dyDescent="0.25">
      <c r="A483" t="s">
        <v>1054</v>
      </c>
      <c r="E483" t="s">
        <v>181</v>
      </c>
      <c r="I483" t="s">
        <v>6</v>
      </c>
      <c r="M483" t="s">
        <v>6</v>
      </c>
      <c r="Q483" t="s">
        <v>6</v>
      </c>
      <c r="U483" t="s">
        <v>181</v>
      </c>
      <c r="Y483" t="s">
        <v>6</v>
      </c>
      <c r="AC483" t="s">
        <v>181</v>
      </c>
    </row>
    <row r="484" spans="1:29" x14ac:dyDescent="0.25">
      <c r="A484" t="s">
        <v>160</v>
      </c>
      <c r="E484" t="s">
        <v>182</v>
      </c>
      <c r="I484" t="s">
        <v>7</v>
      </c>
      <c r="M484" t="s">
        <v>7</v>
      </c>
      <c r="Q484" t="s">
        <v>7</v>
      </c>
      <c r="U484" t="s">
        <v>182</v>
      </c>
      <c r="Y484" t="s">
        <v>7</v>
      </c>
      <c r="AC484" t="s">
        <v>182</v>
      </c>
    </row>
    <row r="485" spans="1:29" x14ac:dyDescent="0.25">
      <c r="A485" t="s">
        <v>1055</v>
      </c>
      <c r="E485" t="s">
        <v>14</v>
      </c>
      <c r="I485" t="s">
        <v>8</v>
      </c>
      <c r="M485" t="s">
        <v>8</v>
      </c>
      <c r="Q485" t="s">
        <v>8</v>
      </c>
      <c r="U485" t="s">
        <v>14</v>
      </c>
      <c r="Y485" t="s">
        <v>8</v>
      </c>
      <c r="AC485" t="s">
        <v>14</v>
      </c>
    </row>
    <row r="486" spans="1:29" x14ac:dyDescent="0.25">
      <c r="A486" t="s">
        <v>155</v>
      </c>
      <c r="E486" t="s">
        <v>15</v>
      </c>
      <c r="I486" t="s">
        <v>9</v>
      </c>
      <c r="M486" t="s">
        <v>9</v>
      </c>
      <c r="Q486" t="s">
        <v>9</v>
      </c>
      <c r="U486" t="s">
        <v>15</v>
      </c>
      <c r="Y486" t="s">
        <v>9</v>
      </c>
      <c r="AC486" t="s">
        <v>15</v>
      </c>
    </row>
    <row r="487" spans="1:29" x14ac:dyDescent="0.25">
      <c r="A487" t="s">
        <v>1056</v>
      </c>
      <c r="E487" t="s">
        <v>151</v>
      </c>
      <c r="I487" t="s">
        <v>149</v>
      </c>
      <c r="M487" t="s">
        <v>149</v>
      </c>
      <c r="Q487" t="s">
        <v>149</v>
      </c>
      <c r="U487" t="s">
        <v>151</v>
      </c>
      <c r="Y487" t="s">
        <v>149</v>
      </c>
      <c r="AC487" t="s">
        <v>151</v>
      </c>
    </row>
    <row r="488" spans="1:29" x14ac:dyDescent="0.25">
      <c r="A488" t="s">
        <v>160</v>
      </c>
      <c r="E488" t="s">
        <v>1048</v>
      </c>
      <c r="I488" t="s">
        <v>150</v>
      </c>
      <c r="M488" t="s">
        <v>150</v>
      </c>
      <c r="Q488" t="s">
        <v>150</v>
      </c>
      <c r="U488" t="s">
        <v>1048</v>
      </c>
      <c r="Y488" t="s">
        <v>150</v>
      </c>
      <c r="AC488" t="s">
        <v>1048</v>
      </c>
    </row>
    <row r="489" spans="1:29" x14ac:dyDescent="0.25">
      <c r="A489" t="s">
        <v>1057</v>
      </c>
      <c r="E489" t="s">
        <v>149</v>
      </c>
      <c r="I489" t="s">
        <v>151</v>
      </c>
      <c r="M489" t="s">
        <v>151</v>
      </c>
      <c r="Q489" t="s">
        <v>151</v>
      </c>
      <c r="U489" t="s">
        <v>149</v>
      </c>
      <c r="Y489" t="s">
        <v>151</v>
      </c>
      <c r="AC489" t="s">
        <v>149</v>
      </c>
    </row>
    <row r="490" spans="1:29" x14ac:dyDescent="0.25">
      <c r="A490" t="s">
        <v>155</v>
      </c>
      <c r="E490" t="s">
        <v>1049</v>
      </c>
      <c r="I490" t="s">
        <v>152</v>
      </c>
      <c r="M490" t="s">
        <v>152</v>
      </c>
      <c r="Q490" t="s">
        <v>152</v>
      </c>
      <c r="U490" t="s">
        <v>1049</v>
      </c>
      <c r="Y490" t="s">
        <v>152</v>
      </c>
      <c r="AC490" t="s">
        <v>1049</v>
      </c>
    </row>
    <row r="491" spans="1:29" x14ac:dyDescent="0.25">
      <c r="A491" t="s">
        <v>1058</v>
      </c>
      <c r="E491" t="s">
        <v>151</v>
      </c>
      <c r="I491" t="s">
        <v>149</v>
      </c>
      <c r="M491" t="s">
        <v>149</v>
      </c>
      <c r="Q491" t="s">
        <v>149</v>
      </c>
      <c r="U491" t="s">
        <v>151</v>
      </c>
      <c r="Y491" t="s">
        <v>149</v>
      </c>
      <c r="AC491" t="s">
        <v>151</v>
      </c>
    </row>
    <row r="492" spans="1:29" x14ac:dyDescent="0.25">
      <c r="A492" t="s">
        <v>160</v>
      </c>
      <c r="E492" t="s">
        <v>1050</v>
      </c>
      <c r="I492" t="s">
        <v>153</v>
      </c>
      <c r="M492" t="s">
        <v>153</v>
      </c>
      <c r="Q492" t="s">
        <v>153</v>
      </c>
      <c r="U492" t="s">
        <v>1050</v>
      </c>
      <c r="Y492" t="s">
        <v>153</v>
      </c>
      <c r="AC492" t="s">
        <v>1050</v>
      </c>
    </row>
    <row r="493" spans="1:29" x14ac:dyDescent="0.25">
      <c r="A493" t="s">
        <v>1059</v>
      </c>
      <c r="E493" t="s">
        <v>149</v>
      </c>
      <c r="I493" t="s">
        <v>151</v>
      </c>
      <c r="M493" t="s">
        <v>151</v>
      </c>
      <c r="Q493" t="s">
        <v>151</v>
      </c>
      <c r="U493" t="s">
        <v>149</v>
      </c>
      <c r="Y493" t="s">
        <v>151</v>
      </c>
      <c r="AC493" t="s">
        <v>149</v>
      </c>
    </row>
    <row r="494" spans="1:29" x14ac:dyDescent="0.25">
      <c r="A494" t="s">
        <v>931</v>
      </c>
      <c r="E494" t="s">
        <v>1051</v>
      </c>
      <c r="I494" t="s">
        <v>154</v>
      </c>
      <c r="M494" t="s">
        <v>154</v>
      </c>
      <c r="Q494" t="s">
        <v>154</v>
      </c>
      <c r="U494" t="s">
        <v>1051</v>
      </c>
      <c r="Y494" t="s">
        <v>154</v>
      </c>
      <c r="AC494" t="s">
        <v>1051</v>
      </c>
    </row>
    <row r="495" spans="1:29" x14ac:dyDescent="0.25">
      <c r="A495" t="s">
        <v>1060</v>
      </c>
      <c r="E495" t="s">
        <v>160</v>
      </c>
      <c r="I495" t="s">
        <v>155</v>
      </c>
      <c r="M495" t="s">
        <v>155</v>
      </c>
      <c r="Q495" t="s">
        <v>155</v>
      </c>
      <c r="U495" t="s">
        <v>160</v>
      </c>
      <c r="Y495" t="s">
        <v>155</v>
      </c>
      <c r="AC495" t="s">
        <v>160</v>
      </c>
    </row>
    <row r="496" spans="1:29" x14ac:dyDescent="0.25">
      <c r="A496" t="s">
        <v>169</v>
      </c>
      <c r="E496" t="s">
        <v>1052</v>
      </c>
      <c r="I496" t="s">
        <v>156</v>
      </c>
      <c r="M496" t="s">
        <v>156</v>
      </c>
      <c r="Q496" t="s">
        <v>156</v>
      </c>
      <c r="U496" t="s">
        <v>1052</v>
      </c>
      <c r="Y496" t="s">
        <v>156</v>
      </c>
      <c r="AC496" t="s">
        <v>1052</v>
      </c>
    </row>
    <row r="497" spans="1:29" x14ac:dyDescent="0.25">
      <c r="A497" t="s">
        <v>1061</v>
      </c>
      <c r="E497" t="s">
        <v>1053</v>
      </c>
      <c r="I497" t="s">
        <v>157</v>
      </c>
      <c r="M497" t="s">
        <v>157</v>
      </c>
      <c r="Q497" t="s">
        <v>157</v>
      </c>
      <c r="U497" t="s">
        <v>1053</v>
      </c>
      <c r="Y497" t="s">
        <v>157</v>
      </c>
      <c r="AC497" t="s">
        <v>1053</v>
      </c>
    </row>
    <row r="498" spans="1:29" x14ac:dyDescent="0.25">
      <c r="A498" t="s">
        <v>931</v>
      </c>
      <c r="E498" t="s">
        <v>1054</v>
      </c>
      <c r="I498" t="s">
        <v>158</v>
      </c>
      <c r="M498" t="s">
        <v>158</v>
      </c>
      <c r="Q498" t="s">
        <v>158</v>
      </c>
      <c r="U498" t="s">
        <v>1054</v>
      </c>
      <c r="Y498" t="s">
        <v>158</v>
      </c>
      <c r="AC498" t="s">
        <v>1054</v>
      </c>
    </row>
    <row r="499" spans="1:29" x14ac:dyDescent="0.25">
      <c r="A499" t="s">
        <v>1062</v>
      </c>
      <c r="E499" t="s">
        <v>160</v>
      </c>
      <c r="I499" t="s">
        <v>155</v>
      </c>
      <c r="M499" t="s">
        <v>155</v>
      </c>
      <c r="Q499" t="s">
        <v>155</v>
      </c>
      <c r="U499" t="s">
        <v>160</v>
      </c>
      <c r="Y499" t="s">
        <v>155</v>
      </c>
      <c r="AC499" t="s">
        <v>160</v>
      </c>
    </row>
    <row r="500" spans="1:29" x14ac:dyDescent="0.25">
      <c r="A500" t="s">
        <v>1063</v>
      </c>
      <c r="E500" t="s">
        <v>1055</v>
      </c>
      <c r="I500" t="s">
        <v>159</v>
      </c>
      <c r="M500" t="s">
        <v>159</v>
      </c>
      <c r="Q500" t="s">
        <v>159</v>
      </c>
      <c r="U500" t="s">
        <v>1055</v>
      </c>
      <c r="Y500" t="s">
        <v>159</v>
      </c>
      <c r="AC500" t="s">
        <v>1055</v>
      </c>
    </row>
    <row r="501" spans="1:29" x14ac:dyDescent="0.25">
      <c r="A501" t="s">
        <v>1064</v>
      </c>
      <c r="E501" t="s">
        <v>155</v>
      </c>
      <c r="I501" t="s">
        <v>160</v>
      </c>
      <c r="M501" t="s">
        <v>160</v>
      </c>
      <c r="Q501" t="s">
        <v>160</v>
      </c>
      <c r="U501" t="s">
        <v>155</v>
      </c>
      <c r="Y501" t="s">
        <v>160</v>
      </c>
      <c r="AC501" t="s">
        <v>155</v>
      </c>
    </row>
    <row r="502" spans="1:29" x14ac:dyDescent="0.25">
      <c r="A502" t="s">
        <v>1065</v>
      </c>
      <c r="E502" t="s">
        <v>1056</v>
      </c>
      <c r="I502" t="s">
        <v>161</v>
      </c>
      <c r="M502" t="s">
        <v>161</v>
      </c>
      <c r="Q502" t="s">
        <v>161</v>
      </c>
      <c r="U502" t="s">
        <v>1056</v>
      </c>
      <c r="Y502" t="s">
        <v>161</v>
      </c>
      <c r="AC502" t="s">
        <v>1056</v>
      </c>
    </row>
    <row r="503" spans="1:29" x14ac:dyDescent="0.25">
      <c r="A503" t="s">
        <v>1066</v>
      </c>
      <c r="E503" t="s">
        <v>160</v>
      </c>
      <c r="I503" t="s">
        <v>155</v>
      </c>
      <c r="M503" t="s">
        <v>155</v>
      </c>
      <c r="Q503" t="s">
        <v>155</v>
      </c>
      <c r="U503" t="s">
        <v>160</v>
      </c>
      <c r="Y503" t="s">
        <v>155</v>
      </c>
      <c r="AC503" t="s">
        <v>160</v>
      </c>
    </row>
    <row r="504" spans="1:29" x14ac:dyDescent="0.25">
      <c r="A504" t="s">
        <v>1067</v>
      </c>
      <c r="E504" t="s">
        <v>1057</v>
      </c>
      <c r="I504" t="s">
        <v>162</v>
      </c>
      <c r="M504" t="s">
        <v>162</v>
      </c>
      <c r="Q504" t="s">
        <v>162</v>
      </c>
      <c r="U504" t="s">
        <v>1057</v>
      </c>
      <c r="Y504" t="s">
        <v>162</v>
      </c>
      <c r="AC504" t="s">
        <v>1057</v>
      </c>
    </row>
    <row r="505" spans="1:29" x14ac:dyDescent="0.25">
      <c r="A505" t="s">
        <v>1068</v>
      </c>
      <c r="E505" t="s">
        <v>155</v>
      </c>
      <c r="I505" t="s">
        <v>160</v>
      </c>
      <c r="M505" t="s">
        <v>160</v>
      </c>
      <c r="Q505" t="s">
        <v>160</v>
      </c>
      <c r="U505" t="s">
        <v>155</v>
      </c>
      <c r="Y505" t="s">
        <v>160</v>
      </c>
      <c r="AC505" t="s">
        <v>155</v>
      </c>
    </row>
    <row r="506" spans="1:29" x14ac:dyDescent="0.25">
      <c r="A506" t="s">
        <v>179</v>
      </c>
      <c r="E506" t="s">
        <v>1058</v>
      </c>
      <c r="I506" t="s">
        <v>163</v>
      </c>
      <c r="M506" t="s">
        <v>163</v>
      </c>
      <c r="Q506" t="s">
        <v>163</v>
      </c>
      <c r="U506" t="s">
        <v>1058</v>
      </c>
      <c r="Y506" t="s">
        <v>163</v>
      </c>
      <c r="AC506" t="s">
        <v>1058</v>
      </c>
    </row>
    <row r="507" spans="1:29" x14ac:dyDescent="0.25">
      <c r="A507" t="s">
        <v>1069</v>
      </c>
      <c r="E507" t="s">
        <v>160</v>
      </c>
      <c r="I507" t="s">
        <v>155</v>
      </c>
      <c r="M507" t="s">
        <v>155</v>
      </c>
      <c r="Q507" t="s">
        <v>155</v>
      </c>
      <c r="U507" t="s">
        <v>160</v>
      </c>
      <c r="Y507" t="s">
        <v>155</v>
      </c>
      <c r="AC507" t="s">
        <v>160</v>
      </c>
    </row>
    <row r="508" spans="1:29" x14ac:dyDescent="0.25">
      <c r="A508" t="s">
        <v>177</v>
      </c>
      <c r="E508" t="s">
        <v>1059</v>
      </c>
      <c r="I508" t="s">
        <v>164</v>
      </c>
      <c r="M508" t="s">
        <v>164</v>
      </c>
      <c r="Q508" t="s">
        <v>164</v>
      </c>
      <c r="U508" t="s">
        <v>1059</v>
      </c>
      <c r="Y508" t="s">
        <v>164</v>
      </c>
      <c r="AC508" t="s">
        <v>1059</v>
      </c>
    </row>
    <row r="509" spans="1:29" x14ac:dyDescent="0.25">
      <c r="A509" t="s">
        <v>1070</v>
      </c>
      <c r="E509" t="s">
        <v>931</v>
      </c>
      <c r="I509" t="s">
        <v>169</v>
      </c>
      <c r="M509" t="s">
        <v>169</v>
      </c>
      <c r="Q509" t="s">
        <v>169</v>
      </c>
      <c r="U509" t="s">
        <v>2164</v>
      </c>
      <c r="Y509" t="s">
        <v>165</v>
      </c>
      <c r="AC509" t="s">
        <v>2383</v>
      </c>
    </row>
    <row r="510" spans="1:29" x14ac:dyDescent="0.25">
      <c r="A510" t="s">
        <v>6</v>
      </c>
      <c r="E510" t="s">
        <v>1060</v>
      </c>
      <c r="I510" t="s">
        <v>166</v>
      </c>
      <c r="M510" t="s">
        <v>166</v>
      </c>
      <c r="Q510" t="s">
        <v>166</v>
      </c>
      <c r="U510" t="s">
        <v>1060</v>
      </c>
      <c r="Y510" t="s">
        <v>166</v>
      </c>
      <c r="AC510" t="s">
        <v>1060</v>
      </c>
    </row>
    <row r="511" spans="1:29" x14ac:dyDescent="0.25">
      <c r="A511" t="s">
        <v>7</v>
      </c>
      <c r="E511" t="s">
        <v>169</v>
      </c>
      <c r="I511" t="s">
        <v>931</v>
      </c>
      <c r="M511" t="s">
        <v>931</v>
      </c>
      <c r="Q511" t="s">
        <v>931</v>
      </c>
      <c r="U511" t="s">
        <v>169</v>
      </c>
      <c r="Y511" t="s">
        <v>931</v>
      </c>
      <c r="AC511" t="s">
        <v>169</v>
      </c>
    </row>
    <row r="512" spans="1:29" x14ac:dyDescent="0.25">
      <c r="A512" t="s">
        <v>1071</v>
      </c>
      <c r="E512" t="s">
        <v>1061</v>
      </c>
      <c r="I512" t="s">
        <v>168</v>
      </c>
      <c r="M512" t="s">
        <v>168</v>
      </c>
      <c r="Q512" t="s">
        <v>168</v>
      </c>
      <c r="U512" t="s">
        <v>1061</v>
      </c>
      <c r="Y512" t="s">
        <v>168</v>
      </c>
      <c r="AC512" t="s">
        <v>1061</v>
      </c>
    </row>
    <row r="513" spans="1:29" x14ac:dyDescent="0.25">
      <c r="A513" t="s">
        <v>1072</v>
      </c>
      <c r="E513" t="s">
        <v>931</v>
      </c>
      <c r="I513" t="s">
        <v>169</v>
      </c>
      <c r="M513" t="s">
        <v>169</v>
      </c>
      <c r="Q513" t="s">
        <v>169</v>
      </c>
      <c r="U513" t="s">
        <v>931</v>
      </c>
      <c r="Y513" t="s">
        <v>169</v>
      </c>
      <c r="AC513" t="s">
        <v>2383</v>
      </c>
    </row>
    <row r="514" spans="1:29" x14ac:dyDescent="0.25">
      <c r="A514" t="s">
        <v>1073</v>
      </c>
      <c r="E514" t="s">
        <v>1062</v>
      </c>
      <c r="I514" t="s">
        <v>170</v>
      </c>
      <c r="M514" t="s">
        <v>170</v>
      </c>
      <c r="Q514" t="s">
        <v>170</v>
      </c>
      <c r="U514" t="s">
        <v>1062</v>
      </c>
      <c r="Y514" t="s">
        <v>170</v>
      </c>
      <c r="AC514" t="s">
        <v>1062</v>
      </c>
    </row>
    <row r="515" spans="1:29" x14ac:dyDescent="0.25">
      <c r="A515" t="s">
        <v>1074</v>
      </c>
      <c r="E515" t="s">
        <v>1063</v>
      </c>
      <c r="I515" t="s">
        <v>171</v>
      </c>
      <c r="M515" t="s">
        <v>171</v>
      </c>
      <c r="Q515" t="s">
        <v>171</v>
      </c>
      <c r="U515" t="s">
        <v>1063</v>
      </c>
      <c r="Y515" t="s">
        <v>171</v>
      </c>
      <c r="AC515" t="s">
        <v>1063</v>
      </c>
    </row>
    <row r="516" spans="1:29" x14ac:dyDescent="0.25">
      <c r="A516" t="s">
        <v>12</v>
      </c>
      <c r="E516" t="s">
        <v>1064</v>
      </c>
      <c r="I516" t="s">
        <v>172</v>
      </c>
      <c r="M516" t="s">
        <v>172</v>
      </c>
      <c r="Q516" t="s">
        <v>172</v>
      </c>
      <c r="U516" t="s">
        <v>1064</v>
      </c>
      <c r="Y516" t="s">
        <v>172</v>
      </c>
      <c r="AC516" t="s">
        <v>1064</v>
      </c>
    </row>
    <row r="517" spans="1:29" x14ac:dyDescent="0.25">
      <c r="A517" t="s">
        <v>13</v>
      </c>
      <c r="E517" t="s">
        <v>1065</v>
      </c>
      <c r="I517" t="s">
        <v>173</v>
      </c>
      <c r="M517" t="s">
        <v>173</v>
      </c>
      <c r="Q517" t="s">
        <v>173</v>
      </c>
      <c r="U517" t="s">
        <v>1065</v>
      </c>
      <c r="Y517" t="s">
        <v>173</v>
      </c>
      <c r="AC517" t="s">
        <v>1065</v>
      </c>
    </row>
    <row r="518" spans="1:29" x14ac:dyDescent="0.25">
      <c r="A518" t="s">
        <v>10</v>
      </c>
      <c r="E518" t="s">
        <v>1066</v>
      </c>
      <c r="I518" t="s">
        <v>174</v>
      </c>
      <c r="M518" t="s">
        <v>174</v>
      </c>
      <c r="Q518" t="s">
        <v>174</v>
      </c>
      <c r="U518" t="s">
        <v>1066</v>
      </c>
      <c r="Y518" t="s">
        <v>174</v>
      </c>
      <c r="AC518" t="s">
        <v>1066</v>
      </c>
    </row>
    <row r="519" spans="1:29" x14ac:dyDescent="0.25">
      <c r="A519" t="s">
        <v>11</v>
      </c>
      <c r="E519" t="s">
        <v>1067</v>
      </c>
      <c r="I519" t="s">
        <v>175</v>
      </c>
      <c r="M519" t="s">
        <v>175</v>
      </c>
      <c r="Q519" t="s">
        <v>175</v>
      </c>
      <c r="U519" t="s">
        <v>1067</v>
      </c>
      <c r="Y519" t="s">
        <v>175</v>
      </c>
      <c r="AC519" t="s">
        <v>1067</v>
      </c>
    </row>
    <row r="520" spans="1:29" x14ac:dyDescent="0.25">
      <c r="A520" t="s">
        <v>12</v>
      </c>
      <c r="E520" t="s">
        <v>1068</v>
      </c>
      <c r="I520" t="s">
        <v>176</v>
      </c>
      <c r="M520" t="s">
        <v>176</v>
      </c>
      <c r="Q520" t="s">
        <v>176</v>
      </c>
      <c r="U520" t="s">
        <v>1068</v>
      </c>
      <c r="Y520" t="s">
        <v>176</v>
      </c>
      <c r="AC520" t="s">
        <v>1068</v>
      </c>
    </row>
    <row r="521" spans="1:29" x14ac:dyDescent="0.25">
      <c r="A521" t="s">
        <v>13</v>
      </c>
      <c r="E521" t="s">
        <v>179</v>
      </c>
      <c r="I521" t="s">
        <v>177</v>
      </c>
      <c r="M521" t="s">
        <v>177</v>
      </c>
      <c r="Q521" t="s">
        <v>177</v>
      </c>
      <c r="U521" t="s">
        <v>179</v>
      </c>
      <c r="Y521" t="s">
        <v>177</v>
      </c>
      <c r="AC521" t="s">
        <v>179</v>
      </c>
    </row>
    <row r="522" spans="1:29" x14ac:dyDescent="0.25">
      <c r="A522" t="s">
        <v>10</v>
      </c>
      <c r="E522" t="s">
        <v>1069</v>
      </c>
      <c r="I522" t="s">
        <v>178</v>
      </c>
      <c r="M522" t="s">
        <v>178</v>
      </c>
      <c r="Q522" t="s">
        <v>178</v>
      </c>
      <c r="U522" t="s">
        <v>1069</v>
      </c>
      <c r="Y522" t="s">
        <v>178</v>
      </c>
      <c r="AC522" t="s">
        <v>1069</v>
      </c>
    </row>
    <row r="523" spans="1:29" x14ac:dyDescent="0.25">
      <c r="A523" t="s">
        <v>11</v>
      </c>
      <c r="E523" t="s">
        <v>177</v>
      </c>
      <c r="I523" t="s">
        <v>179</v>
      </c>
      <c r="M523" t="s">
        <v>179</v>
      </c>
      <c r="Q523" t="s">
        <v>179</v>
      </c>
      <c r="U523" t="s">
        <v>177</v>
      </c>
      <c r="Y523" t="s">
        <v>179</v>
      </c>
      <c r="AC523" t="s">
        <v>177</v>
      </c>
    </row>
    <row r="524" spans="1:29" x14ac:dyDescent="0.25">
      <c r="A524" t="s">
        <v>37</v>
      </c>
      <c r="E524" t="s">
        <v>1070</v>
      </c>
      <c r="I524" t="s">
        <v>180</v>
      </c>
      <c r="M524" t="s">
        <v>180</v>
      </c>
      <c r="Q524" t="s">
        <v>180</v>
      </c>
      <c r="U524" t="s">
        <v>1070</v>
      </c>
      <c r="Y524" t="s">
        <v>180</v>
      </c>
      <c r="AC524" t="s">
        <v>1070</v>
      </c>
    </row>
    <row r="525" spans="1:29" x14ac:dyDescent="0.25">
      <c r="A525" t="s">
        <v>38</v>
      </c>
      <c r="E525" t="s">
        <v>6</v>
      </c>
      <c r="I525" t="s">
        <v>181</v>
      </c>
      <c r="M525" t="s">
        <v>181</v>
      </c>
      <c r="Q525" t="s">
        <v>181</v>
      </c>
      <c r="U525" t="s">
        <v>6</v>
      </c>
      <c r="Y525" t="s">
        <v>181</v>
      </c>
      <c r="AC525" t="s">
        <v>6</v>
      </c>
    </row>
    <row r="526" spans="1:29" x14ac:dyDescent="0.25">
      <c r="A526" t="s">
        <v>10</v>
      </c>
      <c r="E526" t="s">
        <v>7</v>
      </c>
      <c r="I526" t="s">
        <v>182</v>
      </c>
      <c r="M526" t="s">
        <v>182</v>
      </c>
      <c r="Q526" t="s">
        <v>182</v>
      </c>
      <c r="U526" t="s">
        <v>7</v>
      </c>
      <c r="Y526" t="s">
        <v>182</v>
      </c>
      <c r="AC526" t="s">
        <v>7</v>
      </c>
    </row>
    <row r="527" spans="1:29" x14ac:dyDescent="0.25">
      <c r="A527" t="s">
        <v>11</v>
      </c>
      <c r="E527" t="s">
        <v>1071</v>
      </c>
      <c r="I527" t="s">
        <v>932</v>
      </c>
      <c r="M527" t="s">
        <v>932</v>
      </c>
      <c r="Q527" t="s">
        <v>932</v>
      </c>
      <c r="U527" t="s">
        <v>1071</v>
      </c>
      <c r="Y527" t="s">
        <v>932</v>
      </c>
      <c r="AC527" t="s">
        <v>1071</v>
      </c>
    </row>
    <row r="528" spans="1:29" x14ac:dyDescent="0.25">
      <c r="E528" t="s">
        <v>1072</v>
      </c>
      <c r="I528" t="s">
        <v>184</v>
      </c>
      <c r="M528" t="s">
        <v>184</v>
      </c>
      <c r="Q528" t="s">
        <v>184</v>
      </c>
      <c r="U528" t="s">
        <v>1072</v>
      </c>
      <c r="Y528" t="s">
        <v>184</v>
      </c>
      <c r="AC528" t="s">
        <v>1072</v>
      </c>
    </row>
    <row r="529" spans="5:29" x14ac:dyDescent="0.25">
      <c r="E529" t="s">
        <v>1073</v>
      </c>
      <c r="I529" t="s">
        <v>185</v>
      </c>
      <c r="M529" t="s">
        <v>185</v>
      </c>
      <c r="Q529" t="s">
        <v>185</v>
      </c>
      <c r="U529" t="s">
        <v>1073</v>
      </c>
      <c r="Y529" t="s">
        <v>185</v>
      </c>
      <c r="AC529" t="s">
        <v>1073</v>
      </c>
    </row>
    <row r="530" spans="5:29" x14ac:dyDescent="0.25">
      <c r="E530" t="s">
        <v>1074</v>
      </c>
      <c r="I530" t="s">
        <v>186</v>
      </c>
      <c r="M530" t="s">
        <v>186</v>
      </c>
      <c r="Q530" t="s">
        <v>186</v>
      </c>
      <c r="U530" t="s">
        <v>1074</v>
      </c>
      <c r="Y530" t="s">
        <v>186</v>
      </c>
      <c r="AC530" t="s">
        <v>1074</v>
      </c>
    </row>
    <row r="531" spans="5:29" x14ac:dyDescent="0.25">
      <c r="E531" t="s">
        <v>12</v>
      </c>
      <c r="I531" t="s">
        <v>10</v>
      </c>
      <c r="M531" t="s">
        <v>10</v>
      </c>
      <c r="Q531" t="s">
        <v>10</v>
      </c>
      <c r="U531" t="s">
        <v>12</v>
      </c>
      <c r="Y531" t="s">
        <v>10</v>
      </c>
      <c r="AC531" t="s">
        <v>12</v>
      </c>
    </row>
    <row r="532" spans="5:29" x14ac:dyDescent="0.25">
      <c r="E532" t="s">
        <v>13</v>
      </c>
      <c r="I532" t="s">
        <v>11</v>
      </c>
      <c r="M532" t="s">
        <v>11</v>
      </c>
      <c r="Q532" t="s">
        <v>11</v>
      </c>
      <c r="U532" t="s">
        <v>13</v>
      </c>
      <c r="Y532" t="s">
        <v>11</v>
      </c>
      <c r="AC532" t="s">
        <v>13</v>
      </c>
    </row>
    <row r="533" spans="5:29" x14ac:dyDescent="0.25">
      <c r="E533" t="s">
        <v>10</v>
      </c>
      <c r="I533" t="s">
        <v>12</v>
      </c>
      <c r="M533" t="s">
        <v>12</v>
      </c>
      <c r="Q533" t="s">
        <v>12</v>
      </c>
      <c r="U533" t="s">
        <v>10</v>
      </c>
      <c r="Y533" t="s">
        <v>12</v>
      </c>
      <c r="AC533" t="s">
        <v>10</v>
      </c>
    </row>
    <row r="534" spans="5:29" x14ac:dyDescent="0.25">
      <c r="E534" t="s">
        <v>11</v>
      </c>
      <c r="I534" t="s">
        <v>13</v>
      </c>
      <c r="M534" t="s">
        <v>13</v>
      </c>
      <c r="Q534" t="s">
        <v>13</v>
      </c>
      <c r="U534" t="s">
        <v>11</v>
      </c>
      <c r="Y534" t="s">
        <v>13</v>
      </c>
      <c r="AC534" t="s">
        <v>11</v>
      </c>
    </row>
    <row r="535" spans="5:29" x14ac:dyDescent="0.25">
      <c r="E535" t="s">
        <v>12</v>
      </c>
      <c r="I535" t="s">
        <v>10</v>
      </c>
      <c r="M535" t="s">
        <v>10</v>
      </c>
      <c r="Q535" t="s">
        <v>10</v>
      </c>
      <c r="U535" t="s">
        <v>12</v>
      </c>
      <c r="Y535" t="s">
        <v>10</v>
      </c>
      <c r="AC535" t="s">
        <v>12</v>
      </c>
    </row>
    <row r="536" spans="5:29" x14ac:dyDescent="0.25">
      <c r="E536" t="s">
        <v>13</v>
      </c>
      <c r="I536" t="s">
        <v>11</v>
      </c>
      <c r="M536" t="s">
        <v>11</v>
      </c>
      <c r="Q536" t="s">
        <v>11</v>
      </c>
      <c r="U536" t="s">
        <v>13</v>
      </c>
      <c r="Y536" t="s">
        <v>11</v>
      </c>
      <c r="AC536" t="s">
        <v>13</v>
      </c>
    </row>
    <row r="537" spans="5:29" x14ac:dyDescent="0.25">
      <c r="E537" t="s">
        <v>10</v>
      </c>
      <c r="I537" t="s">
        <v>12</v>
      </c>
      <c r="M537" t="s">
        <v>12</v>
      </c>
      <c r="Q537" t="s">
        <v>12</v>
      </c>
      <c r="U537" t="s">
        <v>10</v>
      </c>
      <c r="Y537" t="s">
        <v>12</v>
      </c>
      <c r="AC537" t="s">
        <v>10</v>
      </c>
    </row>
    <row r="538" spans="5:29" x14ac:dyDescent="0.25">
      <c r="E538" t="s">
        <v>11</v>
      </c>
      <c r="I538" t="s">
        <v>13</v>
      </c>
      <c r="M538" t="s">
        <v>13</v>
      </c>
      <c r="Q538" t="s">
        <v>13</v>
      </c>
      <c r="U538" t="s">
        <v>11</v>
      </c>
      <c r="Y538" t="s">
        <v>13</v>
      </c>
      <c r="AC538" t="s">
        <v>11</v>
      </c>
    </row>
    <row r="539" spans="5:29" x14ac:dyDescent="0.25">
      <c r="E539" t="s">
        <v>37</v>
      </c>
      <c r="I539" t="s">
        <v>25</v>
      </c>
      <c r="M539" t="s">
        <v>25</v>
      </c>
      <c r="Q539" t="s">
        <v>25</v>
      </c>
      <c r="U539" t="s">
        <v>37</v>
      </c>
      <c r="Y539" t="s">
        <v>25</v>
      </c>
      <c r="AC539" t="s">
        <v>37</v>
      </c>
    </row>
    <row r="540" spans="5:29" x14ac:dyDescent="0.25">
      <c r="E540" t="s">
        <v>38</v>
      </c>
      <c r="I540" t="s">
        <v>26</v>
      </c>
      <c r="M540" t="s">
        <v>26</v>
      </c>
      <c r="Q540" t="s">
        <v>26</v>
      </c>
      <c r="U540" t="s">
        <v>38</v>
      </c>
      <c r="Y540" t="s">
        <v>26</v>
      </c>
      <c r="AC540" t="s">
        <v>38</v>
      </c>
    </row>
    <row r="541" spans="5:29" x14ac:dyDescent="0.25">
      <c r="E541" t="s">
        <v>10</v>
      </c>
      <c r="I541" t="s">
        <v>12</v>
      </c>
      <c r="M541" t="s">
        <v>12</v>
      </c>
      <c r="Q541" t="s">
        <v>12</v>
      </c>
      <c r="U541" t="s">
        <v>10</v>
      </c>
      <c r="Y541" t="s">
        <v>12</v>
      </c>
      <c r="AC541" t="s">
        <v>10</v>
      </c>
    </row>
    <row r="542" spans="5:29" x14ac:dyDescent="0.25">
      <c r="E542" t="s">
        <v>11</v>
      </c>
      <c r="I542" t="s">
        <v>13</v>
      </c>
      <c r="M542" t="s">
        <v>13</v>
      </c>
      <c r="Q542" t="s">
        <v>13</v>
      </c>
      <c r="U542" t="s">
        <v>11</v>
      </c>
      <c r="Y542" t="s">
        <v>13</v>
      </c>
      <c r="AC542" t="s">
        <v>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CQ38"/>
  <sheetViews>
    <sheetView workbookViewId="0"/>
  </sheetViews>
  <sheetFormatPr defaultRowHeight="15" x14ac:dyDescent="0.25"/>
  <cols>
    <col min="1" max="1" width="10.7109375" customWidth="1"/>
    <col min="2" max="11" width="20.7109375" customWidth="1"/>
    <col min="13" max="13" width="10.7109375" customWidth="1"/>
    <col min="14" max="23" width="20.7109375" customWidth="1"/>
    <col min="25" max="25" width="10.7109375" customWidth="1"/>
    <col min="26" max="35" width="20.7109375" customWidth="1"/>
    <col min="37" max="37" width="10.7109375" customWidth="1"/>
    <col min="38" max="47" width="20.7109375" customWidth="1"/>
    <col min="49" max="49" width="10.7109375" customWidth="1"/>
    <col min="50" max="59" width="20.7109375" customWidth="1"/>
    <col min="61" max="61" width="10.7109375" customWidth="1"/>
    <col min="62" max="71" width="20.7109375" customWidth="1"/>
    <col min="73" max="73" width="10.7109375" customWidth="1"/>
    <col min="74" max="83" width="20.7109375" customWidth="1"/>
    <col min="85" max="85" width="10.7109375" customWidth="1"/>
    <col min="86" max="95" width="20.7109375" customWidth="1"/>
  </cols>
  <sheetData>
    <row r="1" spans="1:95" x14ac:dyDescent="0.25">
      <c r="A1" s="7" t="s">
        <v>0</v>
      </c>
      <c r="B1" s="7"/>
      <c r="C1" s="7"/>
      <c r="D1" s="7"/>
      <c r="E1" s="7"/>
      <c r="F1" s="7"/>
      <c r="G1" s="7"/>
      <c r="H1" s="7"/>
      <c r="I1" s="7"/>
      <c r="J1" s="7"/>
      <c r="K1" s="7"/>
      <c r="L1" s="7"/>
      <c r="M1" s="7"/>
      <c r="N1" s="7"/>
      <c r="O1" s="7"/>
      <c r="P1" s="7"/>
      <c r="Q1" s="7"/>
      <c r="R1" s="7"/>
      <c r="S1" s="7"/>
      <c r="T1" s="7"/>
      <c r="U1" s="7"/>
      <c r="V1" s="7"/>
      <c r="W1" s="7"/>
      <c r="X1" s="7"/>
      <c r="Y1" s="7"/>
      <c r="Z1" s="7"/>
      <c r="AA1" s="7"/>
      <c r="AB1" s="7"/>
      <c r="AC1" s="7"/>
    </row>
    <row r="2" spans="1:95" x14ac:dyDescent="0.25">
      <c r="A2" s="7"/>
      <c r="B2" s="7"/>
      <c r="C2" s="7"/>
      <c r="D2" s="7"/>
      <c r="E2" s="7"/>
      <c r="F2" s="7"/>
      <c r="G2" s="7"/>
      <c r="H2" s="7"/>
      <c r="I2" s="7"/>
      <c r="J2" s="7"/>
      <c r="K2" s="7"/>
      <c r="L2" s="7"/>
      <c r="M2" s="7"/>
      <c r="N2" s="7"/>
      <c r="O2" s="7"/>
      <c r="P2" s="7"/>
      <c r="Q2" s="7"/>
      <c r="R2" s="7"/>
      <c r="S2" s="7"/>
      <c r="T2" s="7"/>
      <c r="U2" s="7"/>
      <c r="V2" s="7"/>
      <c r="W2" s="7"/>
      <c r="X2" s="7"/>
      <c r="Y2" s="7"/>
      <c r="Z2" s="7"/>
      <c r="AA2" s="7"/>
      <c r="AB2" s="7"/>
      <c r="AC2" s="7"/>
    </row>
    <row r="3" spans="1:95" x14ac:dyDescent="0.25">
      <c r="A3" s="8" t="s">
        <v>761</v>
      </c>
      <c r="B3" s="8">
        <v>42837</v>
      </c>
      <c r="C3" s="7"/>
      <c r="D3" s="7"/>
      <c r="E3" s="7"/>
      <c r="F3" s="7"/>
      <c r="G3" s="7"/>
      <c r="H3" s="7"/>
      <c r="I3" s="7"/>
      <c r="J3" s="7"/>
      <c r="K3" s="7"/>
      <c r="L3" s="7"/>
      <c r="M3" s="7"/>
      <c r="N3" s="7"/>
      <c r="O3" s="7"/>
      <c r="P3" s="7"/>
      <c r="Q3" s="7"/>
      <c r="R3" s="7"/>
      <c r="S3" s="7"/>
      <c r="T3" s="7"/>
      <c r="U3" s="7"/>
      <c r="V3" s="7"/>
      <c r="W3" s="7"/>
      <c r="X3" s="7"/>
      <c r="Y3" s="7"/>
      <c r="Z3" s="7"/>
      <c r="AA3" s="7"/>
      <c r="AB3" s="7"/>
      <c r="AC3" s="7"/>
    </row>
    <row r="4" spans="1:95" x14ac:dyDescent="0.25">
      <c r="A4" s="7" t="s">
        <v>762</v>
      </c>
      <c r="B4" s="9">
        <v>0.48958333334303461</v>
      </c>
      <c r="C4" s="7"/>
      <c r="D4" s="7"/>
      <c r="E4" s="7"/>
      <c r="F4" s="7"/>
      <c r="G4" s="7"/>
      <c r="H4" s="7"/>
      <c r="I4" s="7"/>
      <c r="J4" s="7"/>
      <c r="K4" s="7"/>
      <c r="L4" s="7"/>
      <c r="M4" s="7"/>
      <c r="N4" s="7"/>
      <c r="O4" s="7"/>
      <c r="P4" s="7"/>
      <c r="Q4" s="7"/>
      <c r="R4" s="7"/>
      <c r="S4" s="7"/>
      <c r="T4" s="7"/>
      <c r="U4" s="7"/>
      <c r="V4" s="7"/>
      <c r="W4" s="7"/>
      <c r="X4" s="7"/>
      <c r="Y4" s="7"/>
      <c r="Z4" s="7"/>
      <c r="AA4" s="7"/>
      <c r="AB4" s="7"/>
      <c r="AC4" s="7"/>
    </row>
    <row r="5" spans="1:95" x14ac:dyDescent="0.25">
      <c r="A5" s="7" t="s">
        <v>763</v>
      </c>
      <c r="B5" s="9"/>
      <c r="C5" s="7"/>
      <c r="D5" s="7"/>
      <c r="E5" s="7"/>
      <c r="F5" s="7"/>
      <c r="G5" s="7"/>
      <c r="H5" s="7"/>
      <c r="I5" s="7"/>
      <c r="J5" s="7"/>
      <c r="K5" s="7"/>
      <c r="L5" s="7"/>
      <c r="M5" s="7"/>
      <c r="N5" s="7"/>
      <c r="O5" s="7"/>
      <c r="P5" s="7"/>
      <c r="Q5" s="7"/>
      <c r="R5" s="7"/>
      <c r="S5" s="7"/>
      <c r="T5" s="7"/>
      <c r="U5" s="7"/>
      <c r="V5" s="7"/>
      <c r="W5" s="7"/>
      <c r="X5" s="7"/>
      <c r="Y5" s="7"/>
      <c r="Z5" s="7"/>
      <c r="AA5" s="7"/>
      <c r="AB5" s="7"/>
      <c r="AC5" s="7"/>
    </row>
    <row r="6" spans="1:95" x14ac:dyDescent="0.25">
      <c r="A6" s="7"/>
      <c r="B6" s="7"/>
      <c r="C6" s="7"/>
      <c r="D6" s="7"/>
      <c r="E6" s="7"/>
      <c r="F6" s="7"/>
      <c r="G6" s="7"/>
      <c r="H6" s="7"/>
      <c r="I6" s="7"/>
      <c r="J6" s="7"/>
      <c r="K6" s="7"/>
      <c r="L6" s="7"/>
      <c r="M6" s="7"/>
      <c r="N6" s="7"/>
      <c r="O6" s="7"/>
      <c r="P6" s="7"/>
      <c r="Q6" s="7"/>
      <c r="R6" s="7"/>
      <c r="S6" s="7"/>
      <c r="T6" s="7"/>
      <c r="U6" s="7" t="s">
        <v>2053</v>
      </c>
      <c r="V6" s="7"/>
      <c r="W6" s="7"/>
      <c r="X6" s="7"/>
      <c r="Y6" s="7" t="s">
        <v>2053</v>
      </c>
      <c r="Z6" s="7"/>
      <c r="AA6" s="7"/>
      <c r="AB6" s="7"/>
      <c r="AC6" s="7" t="s">
        <v>2276</v>
      </c>
    </row>
    <row r="7" spans="1:95" x14ac:dyDescent="0.25">
      <c r="A7" s="7" t="s">
        <v>1528</v>
      </c>
      <c r="B7" s="7"/>
      <c r="C7" s="7"/>
      <c r="D7" s="7"/>
      <c r="E7" s="7"/>
      <c r="F7" s="7"/>
      <c r="G7" s="7"/>
      <c r="H7" s="7"/>
      <c r="I7" s="7"/>
      <c r="J7" s="7"/>
      <c r="K7" s="7"/>
      <c r="L7" s="7"/>
      <c r="M7" s="7"/>
      <c r="N7" s="7"/>
      <c r="O7" s="7"/>
      <c r="P7" s="7"/>
      <c r="Q7" s="7"/>
      <c r="R7" s="7"/>
      <c r="S7" s="7"/>
      <c r="T7" s="7"/>
      <c r="U7" s="7" t="s">
        <v>2052</v>
      </c>
      <c r="V7" s="7"/>
      <c r="W7" s="7"/>
      <c r="X7" s="7"/>
      <c r="Y7" s="7" t="s">
        <v>2165</v>
      </c>
      <c r="Z7" s="7"/>
      <c r="AA7" s="7"/>
      <c r="AB7" s="7"/>
      <c r="AC7" s="7" t="s">
        <v>2165</v>
      </c>
    </row>
    <row r="8" spans="1:95" x14ac:dyDescent="0.25">
      <c r="A8" s="4" t="s">
        <v>1</v>
      </c>
      <c r="B8" s="4"/>
      <c r="C8" s="4"/>
      <c r="D8" s="4"/>
      <c r="E8" s="4"/>
      <c r="F8" s="4"/>
      <c r="G8" s="4"/>
      <c r="H8" s="4"/>
      <c r="I8" s="4"/>
      <c r="J8" s="4"/>
      <c r="K8" s="4"/>
      <c r="M8" s="4" t="s">
        <v>299</v>
      </c>
      <c r="N8" s="4"/>
      <c r="O8" s="4"/>
      <c r="P8" s="4"/>
      <c r="Q8" s="4"/>
      <c r="R8" s="4"/>
      <c r="S8" s="4"/>
      <c r="T8" s="4"/>
      <c r="U8" s="4"/>
      <c r="V8" s="4"/>
      <c r="W8" s="4"/>
      <c r="Y8" s="4" t="s">
        <v>415</v>
      </c>
      <c r="Z8" s="4"/>
      <c r="AA8" s="4"/>
      <c r="AB8" s="4"/>
      <c r="AC8" s="4"/>
      <c r="AD8" s="4"/>
      <c r="AE8" s="4"/>
      <c r="AF8" s="4"/>
      <c r="AG8" s="4"/>
      <c r="AH8" s="4"/>
      <c r="AI8" s="4"/>
      <c r="AK8" s="4" t="s">
        <v>533</v>
      </c>
      <c r="AL8" s="4"/>
      <c r="AM8" s="4"/>
      <c r="AN8" s="4"/>
      <c r="AO8" s="4"/>
      <c r="AP8" s="4"/>
      <c r="AQ8" s="4"/>
      <c r="AR8" s="4"/>
      <c r="AS8" s="4"/>
      <c r="AT8" s="4"/>
      <c r="AU8" s="4"/>
      <c r="AW8" s="4" t="s">
        <v>1</v>
      </c>
      <c r="AX8" s="4"/>
      <c r="AY8" s="4"/>
      <c r="AZ8" s="4"/>
      <c r="BA8" s="4"/>
      <c r="BB8" s="4"/>
      <c r="BC8" s="4"/>
      <c r="BD8" s="4"/>
      <c r="BE8" s="4"/>
      <c r="BF8" s="4"/>
      <c r="BG8" s="4"/>
      <c r="BI8" s="4" t="s">
        <v>1</v>
      </c>
      <c r="BJ8" s="4"/>
      <c r="BK8" s="4"/>
      <c r="BL8" s="4"/>
      <c r="BM8" s="4"/>
      <c r="BN8" s="4"/>
      <c r="BO8" s="4"/>
      <c r="BP8" s="4"/>
      <c r="BQ8" s="4"/>
      <c r="BR8" s="4"/>
      <c r="BS8" s="4"/>
      <c r="BU8" s="4" t="s">
        <v>1</v>
      </c>
      <c r="BV8" s="4"/>
      <c r="BW8" s="4"/>
      <c r="BX8" s="4"/>
      <c r="BY8" s="4"/>
      <c r="BZ8" s="4"/>
      <c r="CA8" s="4"/>
      <c r="CB8" s="4"/>
      <c r="CC8" s="4"/>
      <c r="CD8" s="4"/>
      <c r="CE8" s="4"/>
      <c r="CG8" s="4" t="s">
        <v>1</v>
      </c>
      <c r="CH8" s="4"/>
      <c r="CI8" s="4"/>
      <c r="CJ8" s="4"/>
      <c r="CK8" s="4"/>
      <c r="CL8" s="4"/>
      <c r="CM8" s="4"/>
      <c r="CN8" s="4"/>
      <c r="CO8" s="4"/>
      <c r="CP8" s="4"/>
      <c r="CQ8" s="4"/>
    </row>
    <row r="9" spans="1:95" x14ac:dyDescent="0.25">
      <c r="A9" s="4" t="s">
        <v>2659</v>
      </c>
      <c r="B9" s="4" t="s">
        <v>2660</v>
      </c>
      <c r="C9" s="4" t="s">
        <v>2661</v>
      </c>
      <c r="D9" s="4" t="s">
        <v>2662</v>
      </c>
      <c r="E9" s="4" t="s">
        <v>2663</v>
      </c>
      <c r="F9" s="4" t="s">
        <v>2664</v>
      </c>
      <c r="G9" s="4" t="s">
        <v>2665</v>
      </c>
      <c r="H9" s="4" t="s">
        <v>2666</v>
      </c>
      <c r="I9" s="4" t="s">
        <v>2667</v>
      </c>
      <c r="J9" s="4" t="s">
        <v>2668</v>
      </c>
      <c r="K9" s="4" t="s">
        <v>2669</v>
      </c>
      <c r="M9" s="4" t="s">
        <v>2659</v>
      </c>
      <c r="N9" s="4" t="s">
        <v>2660</v>
      </c>
      <c r="O9" s="4" t="s">
        <v>2661</v>
      </c>
      <c r="P9" s="4" t="s">
        <v>2662</v>
      </c>
      <c r="Q9" s="4" t="s">
        <v>2663</v>
      </c>
      <c r="R9" s="4" t="s">
        <v>2664</v>
      </c>
      <c r="S9" s="4" t="s">
        <v>2665</v>
      </c>
      <c r="T9" s="4" t="s">
        <v>2666</v>
      </c>
      <c r="U9" s="4" t="s">
        <v>2667</v>
      </c>
      <c r="V9" s="4" t="s">
        <v>2668</v>
      </c>
      <c r="W9" s="4" t="s">
        <v>2669</v>
      </c>
      <c r="Y9" s="4" t="s">
        <v>2659</v>
      </c>
      <c r="Z9" s="4" t="s">
        <v>2660</v>
      </c>
      <c r="AA9" s="4" t="s">
        <v>2661</v>
      </c>
      <c r="AB9" s="4" t="s">
        <v>2662</v>
      </c>
      <c r="AC9" s="4" t="s">
        <v>2663</v>
      </c>
      <c r="AD9" s="4" t="s">
        <v>2664</v>
      </c>
      <c r="AE9" s="4" t="s">
        <v>2665</v>
      </c>
      <c r="AF9" s="4" t="s">
        <v>2666</v>
      </c>
      <c r="AG9" s="4" t="s">
        <v>2667</v>
      </c>
      <c r="AH9" s="4" t="s">
        <v>2668</v>
      </c>
      <c r="AI9" s="4" t="s">
        <v>2669</v>
      </c>
      <c r="AK9" s="4" t="s">
        <v>2659</v>
      </c>
      <c r="AL9" s="4" t="s">
        <v>2660</v>
      </c>
      <c r="AM9" s="4" t="s">
        <v>2661</v>
      </c>
      <c r="AN9" s="4" t="s">
        <v>2662</v>
      </c>
      <c r="AO9" s="4" t="s">
        <v>2663</v>
      </c>
      <c r="AP9" s="4" t="s">
        <v>2664</v>
      </c>
      <c r="AQ9" s="4" t="s">
        <v>2665</v>
      </c>
      <c r="AR9" s="4" t="s">
        <v>2666</v>
      </c>
      <c r="AS9" s="4" t="s">
        <v>2667</v>
      </c>
      <c r="AT9" s="4" t="s">
        <v>2668</v>
      </c>
      <c r="AU9" s="4" t="s">
        <v>2669</v>
      </c>
      <c r="AW9" s="4" t="s">
        <v>2659</v>
      </c>
      <c r="AX9" s="4" t="s">
        <v>2660</v>
      </c>
      <c r="AY9" s="4" t="s">
        <v>2661</v>
      </c>
      <c r="AZ9" s="4" t="s">
        <v>2662</v>
      </c>
      <c r="BA9" s="4" t="s">
        <v>2663</v>
      </c>
      <c r="BB9" s="4" t="s">
        <v>2664</v>
      </c>
      <c r="BC9" s="4" t="s">
        <v>2665</v>
      </c>
      <c r="BD9" s="4" t="s">
        <v>2666</v>
      </c>
      <c r="BE9" s="4" t="s">
        <v>2667</v>
      </c>
      <c r="BF9" s="4" t="s">
        <v>2668</v>
      </c>
      <c r="BG9" s="4" t="s">
        <v>2669</v>
      </c>
      <c r="BI9" s="4" t="s">
        <v>2659</v>
      </c>
      <c r="BJ9" s="4" t="s">
        <v>2660</v>
      </c>
      <c r="BK9" s="4" t="s">
        <v>2661</v>
      </c>
      <c r="BL9" s="4" t="s">
        <v>2662</v>
      </c>
      <c r="BM9" s="4" t="s">
        <v>2663</v>
      </c>
      <c r="BN9" s="4" t="s">
        <v>2664</v>
      </c>
      <c r="BO9" s="4" t="s">
        <v>2665</v>
      </c>
      <c r="BP9" s="4" t="s">
        <v>2666</v>
      </c>
      <c r="BQ9" s="4" t="s">
        <v>2667</v>
      </c>
      <c r="BR9" s="4" t="s">
        <v>2668</v>
      </c>
      <c r="BS9" s="4" t="s">
        <v>2669</v>
      </c>
      <c r="BU9" s="4" t="s">
        <v>2659</v>
      </c>
      <c r="BV9" s="4" t="s">
        <v>2660</v>
      </c>
      <c r="BW9" s="4" t="s">
        <v>2661</v>
      </c>
      <c r="BX9" s="4" t="s">
        <v>2662</v>
      </c>
      <c r="BY9" s="4" t="s">
        <v>2663</v>
      </c>
      <c r="BZ9" s="4" t="s">
        <v>2664</v>
      </c>
      <c r="CA9" s="4" t="s">
        <v>2665</v>
      </c>
      <c r="CB9" s="4" t="s">
        <v>2666</v>
      </c>
      <c r="CC9" s="4" t="s">
        <v>2667</v>
      </c>
      <c r="CD9" s="4" t="s">
        <v>2668</v>
      </c>
      <c r="CE9" s="4" t="s">
        <v>2669</v>
      </c>
      <c r="CG9" s="4" t="s">
        <v>2659</v>
      </c>
      <c r="CH9" s="4" t="s">
        <v>2660</v>
      </c>
      <c r="CI9" s="4" t="s">
        <v>2661</v>
      </c>
      <c r="CJ9" s="4" t="s">
        <v>2662</v>
      </c>
      <c r="CK9" s="4" t="s">
        <v>2663</v>
      </c>
      <c r="CL9" s="4" t="s">
        <v>2664</v>
      </c>
      <c r="CM9" s="4" t="s">
        <v>2665</v>
      </c>
      <c r="CN9" s="4" t="s">
        <v>2666</v>
      </c>
      <c r="CO9" s="4" t="s">
        <v>2667</v>
      </c>
      <c r="CP9" s="4" t="s">
        <v>2668</v>
      </c>
      <c r="CQ9" s="4" t="s">
        <v>2669</v>
      </c>
    </row>
    <row r="10" spans="1:95" x14ac:dyDescent="0.25">
      <c r="A10" s="4">
        <v>1</v>
      </c>
      <c r="B10" s="4">
        <v>2405</v>
      </c>
      <c r="C10" s="4">
        <v>2815</v>
      </c>
      <c r="D10" s="4">
        <v>562969</v>
      </c>
      <c r="E10" s="4">
        <v>562944</v>
      </c>
      <c r="F10" s="4">
        <v>100000</v>
      </c>
      <c r="G10" s="4">
        <v>100032</v>
      </c>
      <c r="H10" s="4">
        <v>14</v>
      </c>
      <c r="I10" s="4">
        <v>4250</v>
      </c>
      <c r="J10" s="4">
        <v>201743</v>
      </c>
      <c r="K10" s="4">
        <v>201728</v>
      </c>
      <c r="M10" s="4">
        <v>1</v>
      </c>
      <c r="N10" s="4">
        <v>2412</v>
      </c>
      <c r="O10" s="4">
        <v>2806</v>
      </c>
      <c r="P10" s="4">
        <v>561172</v>
      </c>
      <c r="Q10" s="4">
        <v>561152</v>
      </c>
      <c r="R10" s="4">
        <v>100000</v>
      </c>
      <c r="S10" s="4">
        <v>100032</v>
      </c>
      <c r="T10" s="4">
        <v>0</v>
      </c>
      <c r="U10" s="4">
        <v>4028</v>
      </c>
      <c r="V10" s="4">
        <v>201521</v>
      </c>
      <c r="W10" s="4">
        <v>201536</v>
      </c>
      <c r="Y10" s="4">
        <v>1</v>
      </c>
      <c r="Z10" s="4">
        <v>2417</v>
      </c>
      <c r="AA10" s="4">
        <v>2800</v>
      </c>
      <c r="AB10" s="4">
        <v>560078</v>
      </c>
      <c r="AC10" s="4">
        <v>560064</v>
      </c>
      <c r="AD10" s="4">
        <v>100000</v>
      </c>
      <c r="AE10" s="4">
        <v>100032</v>
      </c>
      <c r="AF10" s="4">
        <v>397</v>
      </c>
      <c r="AG10" s="4">
        <v>6030</v>
      </c>
      <c r="AH10" s="4">
        <v>203522</v>
      </c>
      <c r="AI10" s="4">
        <v>203520</v>
      </c>
      <c r="AK10" s="4">
        <v>1</v>
      </c>
      <c r="AL10" s="4">
        <v>2417</v>
      </c>
      <c r="AM10" s="4">
        <v>2801</v>
      </c>
      <c r="AN10" s="4">
        <v>560313</v>
      </c>
      <c r="AO10" s="4">
        <v>560320</v>
      </c>
      <c r="AP10" s="4">
        <v>100000</v>
      </c>
      <c r="AQ10" s="4">
        <v>100032</v>
      </c>
      <c r="AR10" s="4">
        <v>2048</v>
      </c>
      <c r="AS10" s="4">
        <v>15407</v>
      </c>
      <c r="AT10" s="4">
        <v>212893</v>
      </c>
      <c r="AU10" s="4">
        <v>212864</v>
      </c>
      <c r="AW10" s="4">
        <v>1</v>
      </c>
      <c r="AX10" s="4">
        <v>2365</v>
      </c>
      <c r="AY10" s="4">
        <v>2866</v>
      </c>
      <c r="AZ10" s="4">
        <v>573281</v>
      </c>
      <c r="BA10" s="4">
        <v>573312</v>
      </c>
      <c r="BB10" s="4">
        <v>100000</v>
      </c>
      <c r="BC10" s="4">
        <v>100032</v>
      </c>
      <c r="BD10" s="4">
        <v>0</v>
      </c>
      <c r="BE10" s="4">
        <v>3937</v>
      </c>
      <c r="BF10" s="4">
        <v>201430</v>
      </c>
      <c r="BG10" s="4">
        <v>201408</v>
      </c>
      <c r="BI10" s="4">
        <v>1</v>
      </c>
      <c r="BJ10" s="4">
        <v>2338</v>
      </c>
      <c r="BK10" s="4">
        <v>2900</v>
      </c>
      <c r="BL10" s="4">
        <v>579937</v>
      </c>
      <c r="BM10" s="4">
        <v>579968</v>
      </c>
      <c r="BN10" s="4">
        <v>100000</v>
      </c>
      <c r="BO10" s="4">
        <v>100032</v>
      </c>
      <c r="BP10" s="4">
        <v>24</v>
      </c>
      <c r="BQ10" s="4">
        <v>4288</v>
      </c>
      <c r="BR10" s="4">
        <v>201781</v>
      </c>
      <c r="BS10" s="4">
        <v>201792</v>
      </c>
      <c r="BU10" s="4">
        <v>1</v>
      </c>
      <c r="BV10" s="4">
        <v>2340</v>
      </c>
      <c r="BW10" s="4">
        <v>2898</v>
      </c>
      <c r="BX10" s="4">
        <v>579625</v>
      </c>
      <c r="BY10" s="4">
        <v>579648</v>
      </c>
      <c r="BZ10" s="4">
        <v>100000</v>
      </c>
      <c r="CA10" s="4">
        <v>100032</v>
      </c>
      <c r="CB10" s="4">
        <v>0</v>
      </c>
      <c r="CC10" s="4">
        <v>3947</v>
      </c>
      <c r="CD10" s="4">
        <v>201440</v>
      </c>
      <c r="CE10" s="4">
        <v>201472</v>
      </c>
      <c r="CG10" s="4">
        <v>1</v>
      </c>
      <c r="CH10" s="4">
        <v>2332</v>
      </c>
      <c r="CI10" s="4">
        <v>2908</v>
      </c>
      <c r="CJ10" s="4">
        <v>581563</v>
      </c>
      <c r="CK10" s="4">
        <v>581568</v>
      </c>
      <c r="CL10" s="4">
        <v>100000</v>
      </c>
      <c r="CM10" s="4">
        <v>100032</v>
      </c>
      <c r="CN10" s="4">
        <v>0</v>
      </c>
      <c r="CO10" s="4">
        <v>4019</v>
      </c>
      <c r="CP10" s="4">
        <v>201512</v>
      </c>
      <c r="CQ10" s="4">
        <v>201536</v>
      </c>
    </row>
    <row r="11" spans="1:95" x14ac:dyDescent="0.25">
      <c r="A11" s="4">
        <v>2</v>
      </c>
      <c r="B11" s="4">
        <v>2404</v>
      </c>
      <c r="C11" s="4">
        <v>2816</v>
      </c>
      <c r="D11" s="4">
        <v>563281</v>
      </c>
      <c r="E11" s="4">
        <v>563264</v>
      </c>
      <c r="F11" s="4">
        <v>100000</v>
      </c>
      <c r="G11" s="4">
        <v>100032</v>
      </c>
      <c r="H11" s="4">
        <v>16</v>
      </c>
      <c r="I11" s="4">
        <v>4258</v>
      </c>
      <c r="J11" s="4">
        <v>201751</v>
      </c>
      <c r="K11" s="4">
        <v>201728</v>
      </c>
      <c r="M11" s="4">
        <v>2</v>
      </c>
      <c r="N11" s="4">
        <v>2417</v>
      </c>
      <c r="O11" s="4">
        <v>2801</v>
      </c>
      <c r="P11" s="4">
        <v>560625</v>
      </c>
      <c r="Q11" s="4">
        <v>560640</v>
      </c>
      <c r="R11" s="4">
        <v>100000</v>
      </c>
      <c r="S11" s="4">
        <v>100032</v>
      </c>
      <c r="T11" s="4">
        <v>0</v>
      </c>
      <c r="U11" s="4">
        <v>3935</v>
      </c>
      <c r="V11" s="4">
        <v>201428</v>
      </c>
      <c r="W11" s="4">
        <v>201408</v>
      </c>
      <c r="Y11" s="4">
        <v>2</v>
      </c>
      <c r="Z11" s="4">
        <v>2417</v>
      </c>
      <c r="AA11" s="4">
        <v>2801</v>
      </c>
      <c r="AB11" s="4">
        <v>560234</v>
      </c>
      <c r="AC11" s="4">
        <v>560256</v>
      </c>
      <c r="AD11" s="4">
        <v>100000</v>
      </c>
      <c r="AE11" s="4">
        <v>100032</v>
      </c>
      <c r="AF11" s="4">
        <v>408</v>
      </c>
      <c r="AG11" s="4">
        <v>6090</v>
      </c>
      <c r="AH11" s="4">
        <v>203582</v>
      </c>
      <c r="AI11" s="4">
        <v>203584</v>
      </c>
      <c r="AK11" s="4">
        <v>2</v>
      </c>
      <c r="AL11" s="4">
        <v>2416</v>
      </c>
      <c r="AM11" s="4">
        <v>2802</v>
      </c>
      <c r="AN11" s="4">
        <v>560469</v>
      </c>
      <c r="AO11" s="4">
        <v>560448</v>
      </c>
      <c r="AP11" s="4">
        <v>100000</v>
      </c>
      <c r="AQ11" s="4">
        <v>100032</v>
      </c>
      <c r="AR11" s="4">
        <v>2048</v>
      </c>
      <c r="AS11" s="4">
        <v>15484</v>
      </c>
      <c r="AT11" s="4">
        <v>212970</v>
      </c>
      <c r="AU11" s="4">
        <v>212992</v>
      </c>
      <c r="AW11" s="4">
        <v>2</v>
      </c>
      <c r="AX11" s="4">
        <v>2366</v>
      </c>
      <c r="AY11" s="4">
        <v>2864</v>
      </c>
      <c r="AZ11" s="4">
        <v>572891</v>
      </c>
      <c r="BA11" s="4">
        <v>572864</v>
      </c>
      <c r="BB11" s="4">
        <v>100000</v>
      </c>
      <c r="BC11" s="4">
        <v>100032</v>
      </c>
      <c r="BD11" s="4">
        <v>0</v>
      </c>
      <c r="BE11" s="4">
        <v>3925</v>
      </c>
      <c r="BF11" s="4">
        <v>201418</v>
      </c>
      <c r="BG11" s="4">
        <v>201408</v>
      </c>
      <c r="BI11" s="4">
        <v>2</v>
      </c>
      <c r="BJ11" s="4">
        <v>2338</v>
      </c>
      <c r="BK11" s="4">
        <v>2900</v>
      </c>
      <c r="BL11" s="4">
        <v>579979</v>
      </c>
      <c r="BM11" s="4">
        <v>579968</v>
      </c>
      <c r="BN11" s="4">
        <v>100000</v>
      </c>
      <c r="BO11" s="4">
        <v>100032</v>
      </c>
      <c r="BP11" s="4">
        <v>13</v>
      </c>
      <c r="BQ11" s="4">
        <v>4246</v>
      </c>
      <c r="BR11" s="4">
        <v>201739</v>
      </c>
      <c r="BS11" s="4">
        <v>201728</v>
      </c>
      <c r="BU11" s="4">
        <v>2</v>
      </c>
      <c r="BV11" s="4">
        <v>2340</v>
      </c>
      <c r="BW11" s="4">
        <v>2898</v>
      </c>
      <c r="BX11" s="4">
        <v>579719</v>
      </c>
      <c r="BY11" s="4">
        <v>579712</v>
      </c>
      <c r="BZ11" s="4">
        <v>100000</v>
      </c>
      <c r="CA11" s="4">
        <v>100032</v>
      </c>
      <c r="CB11" s="4">
        <v>0</v>
      </c>
      <c r="CC11" s="4">
        <v>3896</v>
      </c>
      <c r="CD11" s="4">
        <v>201389</v>
      </c>
      <c r="CE11" s="4">
        <v>201408</v>
      </c>
      <c r="CG11" s="4">
        <v>2</v>
      </c>
      <c r="CH11" s="4">
        <v>2331</v>
      </c>
      <c r="CI11" s="4">
        <v>2909</v>
      </c>
      <c r="CJ11" s="4">
        <v>581735</v>
      </c>
      <c r="CK11" s="4">
        <v>581760</v>
      </c>
      <c r="CL11" s="4">
        <v>100000</v>
      </c>
      <c r="CM11" s="4">
        <v>100032</v>
      </c>
      <c r="CN11" s="4">
        <v>0</v>
      </c>
      <c r="CO11" s="4">
        <v>4080</v>
      </c>
      <c r="CP11" s="4">
        <v>201573</v>
      </c>
      <c r="CQ11" s="4">
        <v>201600</v>
      </c>
    </row>
    <row r="12" spans="1:95" x14ac:dyDescent="0.25">
      <c r="A12" s="4">
        <v>3</v>
      </c>
      <c r="B12" s="4">
        <v>2404</v>
      </c>
      <c r="C12" s="4">
        <v>2816</v>
      </c>
      <c r="D12" s="4">
        <v>563438</v>
      </c>
      <c r="E12" s="4">
        <v>563456</v>
      </c>
      <c r="F12" s="4">
        <v>100000</v>
      </c>
      <c r="G12" s="4">
        <v>100032</v>
      </c>
      <c r="H12" s="4">
        <v>0</v>
      </c>
      <c r="I12" s="4">
        <v>4200</v>
      </c>
      <c r="J12" s="4">
        <v>201693</v>
      </c>
      <c r="K12" s="4">
        <v>201664</v>
      </c>
      <c r="M12" s="4">
        <v>3</v>
      </c>
      <c r="N12" s="4">
        <v>2420</v>
      </c>
      <c r="O12" s="4">
        <v>2797</v>
      </c>
      <c r="P12" s="4">
        <v>559453</v>
      </c>
      <c r="Q12" s="4">
        <v>559424</v>
      </c>
      <c r="R12" s="4">
        <v>100000</v>
      </c>
      <c r="S12" s="4">
        <v>100032</v>
      </c>
      <c r="T12" s="4">
        <v>0</v>
      </c>
      <c r="U12" s="4">
        <v>3989</v>
      </c>
      <c r="V12" s="4">
        <v>201482</v>
      </c>
      <c r="W12" s="4">
        <v>201472</v>
      </c>
      <c r="Y12" s="4">
        <v>3</v>
      </c>
      <c r="Z12" s="4">
        <v>2415</v>
      </c>
      <c r="AA12" s="4">
        <v>2803</v>
      </c>
      <c r="AB12" s="4">
        <v>560703</v>
      </c>
      <c r="AC12" s="4">
        <v>560704</v>
      </c>
      <c r="AD12" s="4">
        <v>100000</v>
      </c>
      <c r="AE12" s="4">
        <v>100032</v>
      </c>
      <c r="AF12" s="4">
        <v>482</v>
      </c>
      <c r="AG12" s="4">
        <v>6474</v>
      </c>
      <c r="AH12" s="4">
        <v>203966</v>
      </c>
      <c r="AI12" s="4">
        <v>203968</v>
      </c>
      <c r="AK12" s="4">
        <v>3</v>
      </c>
      <c r="AL12" s="4">
        <v>2414</v>
      </c>
      <c r="AM12" s="4">
        <v>2804</v>
      </c>
      <c r="AN12" s="4">
        <v>560703</v>
      </c>
      <c r="AO12" s="4">
        <v>560704</v>
      </c>
      <c r="AP12" s="4">
        <v>100000</v>
      </c>
      <c r="AQ12" s="4">
        <v>100032</v>
      </c>
      <c r="AR12" s="4">
        <v>2018</v>
      </c>
      <c r="AS12" s="4">
        <v>15233</v>
      </c>
      <c r="AT12" s="4">
        <v>212719</v>
      </c>
      <c r="AU12" s="4">
        <v>212736</v>
      </c>
      <c r="AW12" s="4">
        <v>3</v>
      </c>
      <c r="AX12" s="4">
        <v>2366</v>
      </c>
      <c r="AY12" s="4">
        <v>2864</v>
      </c>
      <c r="AZ12" s="4">
        <v>572891</v>
      </c>
      <c r="BA12" s="4">
        <v>572864</v>
      </c>
      <c r="BB12" s="4">
        <v>100000</v>
      </c>
      <c r="BC12" s="4">
        <v>100032</v>
      </c>
      <c r="BD12" s="4">
        <v>0</v>
      </c>
      <c r="BE12" s="4">
        <v>4117</v>
      </c>
      <c r="BF12" s="4">
        <v>201610</v>
      </c>
      <c r="BG12" s="4">
        <v>201600</v>
      </c>
      <c r="BI12" s="4">
        <v>3</v>
      </c>
      <c r="BJ12" s="4">
        <v>2338</v>
      </c>
      <c r="BK12" s="4">
        <v>2900</v>
      </c>
      <c r="BL12" s="4">
        <v>579995</v>
      </c>
      <c r="BM12" s="4">
        <v>579968</v>
      </c>
      <c r="BN12" s="4">
        <v>100000</v>
      </c>
      <c r="BO12" s="4">
        <v>100032</v>
      </c>
      <c r="BP12" s="4">
        <v>0</v>
      </c>
      <c r="BQ12" s="4">
        <v>4164</v>
      </c>
      <c r="BR12" s="4">
        <v>201657</v>
      </c>
      <c r="BS12" s="4">
        <v>201664</v>
      </c>
      <c r="BU12" s="4">
        <v>3</v>
      </c>
      <c r="BV12" s="4">
        <v>2340</v>
      </c>
      <c r="BW12" s="4">
        <v>2898</v>
      </c>
      <c r="BX12" s="4">
        <v>579578</v>
      </c>
      <c r="BY12" s="4">
        <v>579584</v>
      </c>
      <c r="BZ12" s="4">
        <v>100000</v>
      </c>
      <c r="CA12" s="4">
        <v>100032</v>
      </c>
      <c r="CB12" s="4">
        <v>0</v>
      </c>
      <c r="CC12" s="4">
        <v>3812</v>
      </c>
      <c r="CD12" s="4">
        <v>201305</v>
      </c>
      <c r="CE12" s="4">
        <v>201280</v>
      </c>
      <c r="CG12" s="4">
        <v>3</v>
      </c>
      <c r="CH12" s="4">
        <v>2331</v>
      </c>
      <c r="CI12" s="4">
        <v>2909</v>
      </c>
      <c r="CJ12" s="4">
        <v>581875</v>
      </c>
      <c r="CK12" s="4">
        <v>581888</v>
      </c>
      <c r="CL12" s="4">
        <v>100000</v>
      </c>
      <c r="CM12" s="4">
        <v>100032</v>
      </c>
      <c r="CN12" s="4">
        <v>0</v>
      </c>
      <c r="CO12" s="4">
        <v>4100</v>
      </c>
      <c r="CP12" s="4">
        <v>201593</v>
      </c>
      <c r="CQ12" s="4">
        <v>201600</v>
      </c>
    </row>
    <row r="13" spans="1:95" x14ac:dyDescent="0.25">
      <c r="A13" s="4">
        <v>4</v>
      </c>
      <c r="B13" s="4">
        <v>2406</v>
      </c>
      <c r="C13" s="4">
        <v>2814</v>
      </c>
      <c r="D13" s="4">
        <v>562891</v>
      </c>
      <c r="E13" s="4">
        <v>562880</v>
      </c>
      <c r="F13" s="4">
        <v>100000</v>
      </c>
      <c r="G13" s="4">
        <v>100032</v>
      </c>
      <c r="H13" s="4">
        <v>66</v>
      </c>
      <c r="I13" s="4">
        <v>4459</v>
      </c>
      <c r="J13" s="4">
        <v>201952</v>
      </c>
      <c r="K13" s="4">
        <v>201984</v>
      </c>
      <c r="M13" s="4">
        <v>4</v>
      </c>
      <c r="N13" s="4">
        <v>2421</v>
      </c>
      <c r="O13" s="4">
        <v>2795</v>
      </c>
      <c r="P13" s="4">
        <v>559141</v>
      </c>
      <c r="Q13" s="4">
        <v>559168</v>
      </c>
      <c r="R13" s="4">
        <v>100000</v>
      </c>
      <c r="S13" s="4">
        <v>100032</v>
      </c>
      <c r="T13" s="4">
        <v>0</v>
      </c>
      <c r="U13" s="4">
        <v>3783</v>
      </c>
      <c r="V13" s="4">
        <v>201276</v>
      </c>
      <c r="W13" s="4">
        <v>201280</v>
      </c>
      <c r="Y13" s="4">
        <v>4</v>
      </c>
      <c r="Z13" s="4">
        <v>2413</v>
      </c>
      <c r="AA13" s="4">
        <v>2805</v>
      </c>
      <c r="AB13" s="4">
        <v>561094</v>
      </c>
      <c r="AC13" s="4">
        <v>561088</v>
      </c>
      <c r="AD13" s="4">
        <v>100000</v>
      </c>
      <c r="AE13" s="4">
        <v>100032</v>
      </c>
      <c r="AF13" s="4">
        <v>476</v>
      </c>
      <c r="AG13" s="4">
        <v>6442</v>
      </c>
      <c r="AH13" s="4">
        <v>203934</v>
      </c>
      <c r="AI13" s="4">
        <v>203904</v>
      </c>
      <c r="AK13" s="4">
        <v>4</v>
      </c>
      <c r="AL13" s="4">
        <v>2414</v>
      </c>
      <c r="AM13" s="4">
        <v>2804</v>
      </c>
      <c r="AN13" s="4">
        <v>560781</v>
      </c>
      <c r="AO13" s="4">
        <v>560768</v>
      </c>
      <c r="AP13" s="4">
        <v>100000</v>
      </c>
      <c r="AQ13" s="4">
        <v>100032</v>
      </c>
      <c r="AR13" s="4">
        <v>2010</v>
      </c>
      <c r="AS13" s="4">
        <v>15185</v>
      </c>
      <c r="AT13" s="4">
        <v>212671</v>
      </c>
      <c r="AU13" s="4">
        <v>212672</v>
      </c>
      <c r="AW13" s="4">
        <v>4</v>
      </c>
      <c r="AX13" s="4">
        <v>2366</v>
      </c>
      <c r="AY13" s="4">
        <v>2864</v>
      </c>
      <c r="AZ13" s="4">
        <v>572891</v>
      </c>
      <c r="BA13" s="4">
        <v>572864</v>
      </c>
      <c r="BB13" s="4">
        <v>100000</v>
      </c>
      <c r="BC13" s="4">
        <v>100032</v>
      </c>
      <c r="BD13" s="4">
        <v>0</v>
      </c>
      <c r="BE13" s="4">
        <v>4070</v>
      </c>
      <c r="BF13" s="4">
        <v>201563</v>
      </c>
      <c r="BG13" s="4">
        <v>201536</v>
      </c>
      <c r="BI13" s="4">
        <v>4</v>
      </c>
      <c r="BJ13" s="4">
        <v>2339</v>
      </c>
      <c r="BK13" s="4">
        <v>2899</v>
      </c>
      <c r="BL13" s="4">
        <v>579958</v>
      </c>
      <c r="BM13" s="4">
        <v>579968</v>
      </c>
      <c r="BN13" s="4">
        <v>100000</v>
      </c>
      <c r="BO13" s="4">
        <v>100032</v>
      </c>
      <c r="BP13" s="4">
        <v>39</v>
      </c>
      <c r="BQ13" s="4">
        <v>4346</v>
      </c>
      <c r="BR13" s="4">
        <v>201839</v>
      </c>
      <c r="BS13" s="4">
        <v>201856</v>
      </c>
      <c r="BU13" s="4">
        <v>4</v>
      </c>
      <c r="BV13" s="4">
        <v>2341</v>
      </c>
      <c r="BW13" s="4">
        <v>2896</v>
      </c>
      <c r="BX13" s="4">
        <v>579297</v>
      </c>
      <c r="BY13" s="4">
        <v>579328</v>
      </c>
      <c r="BZ13" s="4">
        <v>100000</v>
      </c>
      <c r="CA13" s="4">
        <v>100032</v>
      </c>
      <c r="CB13" s="4">
        <v>0</v>
      </c>
      <c r="CC13" s="4">
        <v>3846</v>
      </c>
      <c r="CD13" s="4">
        <v>201339</v>
      </c>
      <c r="CE13" s="4">
        <v>201344</v>
      </c>
      <c r="CG13" s="4">
        <v>4</v>
      </c>
      <c r="CH13" s="4">
        <v>2330</v>
      </c>
      <c r="CI13" s="4">
        <v>2910</v>
      </c>
      <c r="CJ13" s="4">
        <v>582047</v>
      </c>
      <c r="CK13" s="4">
        <v>582016</v>
      </c>
      <c r="CL13" s="4">
        <v>100000</v>
      </c>
      <c r="CM13" s="4">
        <v>100032</v>
      </c>
      <c r="CN13" s="4">
        <v>0</v>
      </c>
      <c r="CO13" s="4">
        <v>4134</v>
      </c>
      <c r="CP13" s="4">
        <v>201627</v>
      </c>
      <c r="CQ13" s="4">
        <v>201600</v>
      </c>
    </row>
    <row r="14" spans="1:95" x14ac:dyDescent="0.25">
      <c r="A14" s="4">
        <v>5</v>
      </c>
      <c r="B14" s="4">
        <v>2406</v>
      </c>
      <c r="C14" s="4">
        <v>2814</v>
      </c>
      <c r="D14" s="4">
        <v>562813</v>
      </c>
      <c r="E14" s="4">
        <v>562816</v>
      </c>
      <c r="F14" s="4">
        <v>100000</v>
      </c>
      <c r="G14" s="4">
        <v>100032</v>
      </c>
      <c r="H14" s="4">
        <v>14</v>
      </c>
      <c r="I14" s="4">
        <v>4251</v>
      </c>
      <c r="J14" s="4">
        <v>201744</v>
      </c>
      <c r="K14" s="4">
        <v>201728</v>
      </c>
      <c r="M14" s="4">
        <v>5</v>
      </c>
      <c r="N14" s="4">
        <v>2421</v>
      </c>
      <c r="O14" s="4">
        <v>2796</v>
      </c>
      <c r="P14" s="4">
        <v>559297</v>
      </c>
      <c r="Q14" s="4">
        <v>559296</v>
      </c>
      <c r="R14" s="4">
        <v>100000</v>
      </c>
      <c r="S14" s="4">
        <v>100032</v>
      </c>
      <c r="T14" s="4">
        <v>0</v>
      </c>
      <c r="U14" s="4">
        <v>4123</v>
      </c>
      <c r="V14" s="4">
        <v>201616</v>
      </c>
      <c r="W14" s="4">
        <v>201600</v>
      </c>
      <c r="Y14" s="4">
        <v>5</v>
      </c>
      <c r="Z14" s="4">
        <v>2408</v>
      </c>
      <c r="AA14" s="4">
        <v>2811</v>
      </c>
      <c r="AB14" s="4">
        <v>561797</v>
      </c>
      <c r="AC14" s="4">
        <v>561792</v>
      </c>
      <c r="AD14" s="4">
        <v>100000</v>
      </c>
      <c r="AE14" s="4">
        <v>100032</v>
      </c>
      <c r="AF14" s="4">
        <v>514</v>
      </c>
      <c r="AG14" s="4">
        <v>6637</v>
      </c>
      <c r="AH14" s="4">
        <v>204128</v>
      </c>
      <c r="AI14" s="4">
        <v>204160</v>
      </c>
      <c r="AK14" s="4">
        <v>5</v>
      </c>
      <c r="AL14" s="4">
        <v>2417</v>
      </c>
      <c r="AM14" s="4">
        <v>2801</v>
      </c>
      <c r="AN14" s="4">
        <v>560391</v>
      </c>
      <c r="AO14" s="4">
        <v>560384</v>
      </c>
      <c r="AP14" s="4">
        <v>100000</v>
      </c>
      <c r="AQ14" s="4">
        <v>100032</v>
      </c>
      <c r="AR14" s="4">
        <v>2018</v>
      </c>
      <c r="AS14" s="4">
        <v>15231</v>
      </c>
      <c r="AT14" s="4">
        <v>212717</v>
      </c>
      <c r="AU14" s="4">
        <v>212736</v>
      </c>
      <c r="AW14" s="4">
        <v>5</v>
      </c>
      <c r="AX14" s="4">
        <v>2366</v>
      </c>
      <c r="AY14" s="4">
        <v>2865</v>
      </c>
      <c r="AZ14" s="4">
        <v>573047</v>
      </c>
      <c r="BA14" s="4">
        <v>573056</v>
      </c>
      <c r="BB14" s="4">
        <v>100000</v>
      </c>
      <c r="BC14" s="4">
        <v>100032</v>
      </c>
      <c r="BD14" s="4">
        <v>0</v>
      </c>
      <c r="BE14" s="4">
        <v>4058</v>
      </c>
      <c r="BF14" s="4">
        <v>201551</v>
      </c>
      <c r="BG14" s="4">
        <v>201536</v>
      </c>
      <c r="BI14" s="4">
        <v>5</v>
      </c>
      <c r="BJ14" s="4">
        <v>2339</v>
      </c>
      <c r="BK14" s="4">
        <v>2899</v>
      </c>
      <c r="BL14" s="4">
        <v>579865</v>
      </c>
      <c r="BM14" s="4">
        <v>579840</v>
      </c>
      <c r="BN14" s="4">
        <v>100000</v>
      </c>
      <c r="BO14" s="4">
        <v>100032</v>
      </c>
      <c r="BP14" s="4">
        <v>17</v>
      </c>
      <c r="BQ14" s="4">
        <v>4261</v>
      </c>
      <c r="BR14" s="4">
        <v>201754</v>
      </c>
      <c r="BS14" s="4">
        <v>201728</v>
      </c>
      <c r="BU14" s="4">
        <v>5</v>
      </c>
      <c r="BV14" s="4">
        <v>2342</v>
      </c>
      <c r="BW14" s="4">
        <v>2895</v>
      </c>
      <c r="BX14" s="4">
        <v>579047</v>
      </c>
      <c r="BY14" s="4">
        <v>579072</v>
      </c>
      <c r="BZ14" s="4">
        <v>100000</v>
      </c>
      <c r="CA14" s="4">
        <v>100032</v>
      </c>
      <c r="CB14" s="4">
        <v>0</v>
      </c>
      <c r="CC14" s="4">
        <v>3835</v>
      </c>
      <c r="CD14" s="4">
        <v>201328</v>
      </c>
      <c r="CE14" s="4">
        <v>201344</v>
      </c>
      <c r="CG14" s="4">
        <v>5</v>
      </c>
      <c r="CH14" s="4">
        <v>2329</v>
      </c>
      <c r="CI14" s="4">
        <v>2912</v>
      </c>
      <c r="CJ14" s="4">
        <v>582516</v>
      </c>
      <c r="CK14" s="4">
        <v>582528</v>
      </c>
      <c r="CL14" s="4">
        <v>100000</v>
      </c>
      <c r="CM14" s="4">
        <v>100032</v>
      </c>
      <c r="CN14" s="4">
        <v>0</v>
      </c>
      <c r="CO14" s="4">
        <v>4170</v>
      </c>
      <c r="CP14" s="4">
        <v>201663</v>
      </c>
      <c r="CQ14" s="4">
        <v>201664</v>
      </c>
    </row>
    <row r="15" spans="1:95" x14ac:dyDescent="0.25">
      <c r="A15" s="4">
        <v>6</v>
      </c>
      <c r="B15" s="4">
        <v>2407</v>
      </c>
      <c r="C15" s="4">
        <v>2813</v>
      </c>
      <c r="D15" s="4">
        <v>562656</v>
      </c>
      <c r="E15" s="4">
        <v>562688</v>
      </c>
      <c r="F15" s="4">
        <v>100000</v>
      </c>
      <c r="G15" s="4">
        <v>100032</v>
      </c>
      <c r="H15" s="4">
        <v>0</v>
      </c>
      <c r="I15" s="4">
        <v>4183</v>
      </c>
      <c r="J15" s="4">
        <v>201676</v>
      </c>
      <c r="K15" s="4">
        <v>201664</v>
      </c>
      <c r="M15" s="4">
        <v>6</v>
      </c>
      <c r="N15" s="4">
        <v>2419</v>
      </c>
      <c r="O15" s="4">
        <v>2798</v>
      </c>
      <c r="P15" s="4">
        <v>559609</v>
      </c>
      <c r="Q15" s="4">
        <v>559616</v>
      </c>
      <c r="R15" s="4">
        <v>100000</v>
      </c>
      <c r="S15" s="4">
        <v>100032</v>
      </c>
      <c r="T15" s="4">
        <v>0</v>
      </c>
      <c r="U15" s="4">
        <v>3980</v>
      </c>
      <c r="V15" s="4">
        <v>201473</v>
      </c>
      <c r="W15" s="4">
        <v>201472</v>
      </c>
      <c r="Y15" s="4">
        <v>6</v>
      </c>
      <c r="Z15" s="4">
        <v>2407</v>
      </c>
      <c r="AA15" s="4">
        <v>2812</v>
      </c>
      <c r="AB15" s="4">
        <v>562422</v>
      </c>
      <c r="AC15" s="4">
        <v>562432</v>
      </c>
      <c r="AD15" s="4">
        <v>100000</v>
      </c>
      <c r="AE15" s="4">
        <v>100032</v>
      </c>
      <c r="AF15" s="4">
        <v>361</v>
      </c>
      <c r="AG15" s="4">
        <v>5848</v>
      </c>
      <c r="AH15" s="4">
        <v>203340</v>
      </c>
      <c r="AI15" s="4">
        <v>203328</v>
      </c>
      <c r="AK15" s="4">
        <v>6</v>
      </c>
      <c r="AL15" s="4">
        <v>2415</v>
      </c>
      <c r="AM15" s="4">
        <v>2803</v>
      </c>
      <c r="AN15" s="4">
        <v>560625</v>
      </c>
      <c r="AO15" s="4">
        <v>560640</v>
      </c>
      <c r="AP15" s="4">
        <v>100000</v>
      </c>
      <c r="AQ15" s="4">
        <v>100032</v>
      </c>
      <c r="AR15" s="4">
        <v>2048</v>
      </c>
      <c r="AS15" s="4">
        <v>15408</v>
      </c>
      <c r="AT15" s="4">
        <v>212894</v>
      </c>
      <c r="AU15" s="4">
        <v>212864</v>
      </c>
      <c r="AW15" s="4">
        <v>6</v>
      </c>
      <c r="AX15" s="4">
        <v>2366</v>
      </c>
      <c r="AY15" s="4">
        <v>2865</v>
      </c>
      <c r="AZ15" s="4">
        <v>573125</v>
      </c>
      <c r="BA15" s="4">
        <v>573120</v>
      </c>
      <c r="BB15" s="4">
        <v>100000</v>
      </c>
      <c r="BC15" s="4">
        <v>100032</v>
      </c>
      <c r="BD15" s="4">
        <v>0</v>
      </c>
      <c r="BE15" s="4">
        <v>4177</v>
      </c>
      <c r="BF15" s="4">
        <v>201670</v>
      </c>
      <c r="BG15" s="4">
        <v>201664</v>
      </c>
      <c r="BI15" s="4">
        <v>6</v>
      </c>
      <c r="BJ15" s="4">
        <v>2339</v>
      </c>
      <c r="BK15" s="4">
        <v>2899</v>
      </c>
      <c r="BL15" s="4">
        <v>579781</v>
      </c>
      <c r="BM15" s="4">
        <v>579776</v>
      </c>
      <c r="BN15" s="4">
        <v>100000</v>
      </c>
      <c r="BO15" s="4">
        <v>100032</v>
      </c>
      <c r="BP15" s="4">
        <v>15</v>
      </c>
      <c r="BQ15" s="4">
        <v>4255</v>
      </c>
      <c r="BR15" s="4">
        <v>201748</v>
      </c>
      <c r="BS15" s="4">
        <v>201728</v>
      </c>
      <c r="BU15" s="4">
        <v>6</v>
      </c>
      <c r="BV15" s="4">
        <v>2342</v>
      </c>
      <c r="BW15" s="4">
        <v>2895</v>
      </c>
      <c r="BX15" s="4">
        <v>578937</v>
      </c>
      <c r="BY15" s="4">
        <v>578944</v>
      </c>
      <c r="BZ15" s="4">
        <v>100000</v>
      </c>
      <c r="CA15" s="4">
        <v>100032</v>
      </c>
      <c r="CB15" s="4">
        <v>0</v>
      </c>
      <c r="CC15" s="4">
        <v>4086</v>
      </c>
      <c r="CD15" s="4">
        <v>201579</v>
      </c>
      <c r="CE15" s="4">
        <v>201600</v>
      </c>
      <c r="CG15" s="4">
        <v>6</v>
      </c>
      <c r="CH15" s="4">
        <v>2327</v>
      </c>
      <c r="CI15" s="4">
        <v>2914</v>
      </c>
      <c r="CJ15" s="4">
        <v>582813</v>
      </c>
      <c r="CK15" s="4">
        <v>582784</v>
      </c>
      <c r="CL15" s="4">
        <v>100000</v>
      </c>
      <c r="CM15" s="4">
        <v>100032</v>
      </c>
      <c r="CN15" s="4">
        <v>0</v>
      </c>
      <c r="CO15" s="4">
        <v>4214</v>
      </c>
      <c r="CP15" s="4">
        <v>201707</v>
      </c>
      <c r="CQ15" s="4">
        <v>201728</v>
      </c>
    </row>
    <row r="16" spans="1:95" x14ac:dyDescent="0.25">
      <c r="A16" s="4">
        <v>7</v>
      </c>
      <c r="B16" s="4">
        <v>2407</v>
      </c>
      <c r="C16" s="4">
        <v>2813</v>
      </c>
      <c r="D16" s="4">
        <v>562656</v>
      </c>
      <c r="E16" s="4">
        <v>562688</v>
      </c>
      <c r="F16" s="4">
        <v>100000</v>
      </c>
      <c r="G16" s="4">
        <v>100032</v>
      </c>
      <c r="H16" s="4">
        <v>9</v>
      </c>
      <c r="I16" s="4">
        <v>4232</v>
      </c>
      <c r="J16" s="4">
        <v>201725</v>
      </c>
      <c r="K16" s="4">
        <v>201728</v>
      </c>
      <c r="M16" s="4">
        <v>7</v>
      </c>
      <c r="N16" s="4">
        <v>2419</v>
      </c>
      <c r="O16" s="4">
        <v>2798</v>
      </c>
      <c r="P16" s="4">
        <v>559609</v>
      </c>
      <c r="Q16" s="4">
        <v>559616</v>
      </c>
      <c r="R16" s="4">
        <v>100000</v>
      </c>
      <c r="S16" s="4">
        <v>100032</v>
      </c>
      <c r="T16" s="4">
        <v>0</v>
      </c>
      <c r="U16" s="4">
        <v>3883</v>
      </c>
      <c r="V16" s="4">
        <v>201376</v>
      </c>
      <c r="W16" s="4">
        <v>201408</v>
      </c>
      <c r="Y16" s="4">
        <v>7</v>
      </c>
      <c r="Z16" s="4">
        <v>2408</v>
      </c>
      <c r="AA16" s="4">
        <v>2811</v>
      </c>
      <c r="AB16" s="4">
        <v>562344</v>
      </c>
      <c r="AC16" s="4">
        <v>562368</v>
      </c>
      <c r="AD16" s="4">
        <v>100000</v>
      </c>
      <c r="AE16" s="4">
        <v>100032</v>
      </c>
      <c r="AF16" s="4">
        <v>488</v>
      </c>
      <c r="AG16" s="4">
        <v>6503</v>
      </c>
      <c r="AH16" s="4">
        <v>203995</v>
      </c>
      <c r="AI16" s="4">
        <v>203968</v>
      </c>
      <c r="AK16" s="4">
        <v>7</v>
      </c>
      <c r="AL16" s="4">
        <v>2415</v>
      </c>
      <c r="AM16" s="4">
        <v>2803</v>
      </c>
      <c r="AN16" s="4">
        <v>560703</v>
      </c>
      <c r="AO16" s="4">
        <v>560704</v>
      </c>
      <c r="AP16" s="4">
        <v>100000</v>
      </c>
      <c r="AQ16" s="4">
        <v>100032</v>
      </c>
      <c r="AR16" s="4">
        <v>2035</v>
      </c>
      <c r="AS16" s="4">
        <v>15330</v>
      </c>
      <c r="AT16" s="4">
        <v>212816</v>
      </c>
      <c r="AU16" s="4">
        <v>212800</v>
      </c>
      <c r="AW16" s="4">
        <v>7</v>
      </c>
      <c r="AX16" s="4">
        <v>2365</v>
      </c>
      <c r="AY16" s="4">
        <v>2866</v>
      </c>
      <c r="AZ16" s="4">
        <v>573203</v>
      </c>
      <c r="BA16" s="4">
        <v>573184</v>
      </c>
      <c r="BB16" s="4">
        <v>100000</v>
      </c>
      <c r="BC16" s="4">
        <v>100032</v>
      </c>
      <c r="BD16" s="4">
        <v>35</v>
      </c>
      <c r="BE16" s="4">
        <v>4329</v>
      </c>
      <c r="BF16" s="4">
        <v>201822</v>
      </c>
      <c r="BG16" s="4">
        <v>201792</v>
      </c>
      <c r="BI16" s="4">
        <v>7</v>
      </c>
      <c r="BJ16" s="4">
        <v>2340</v>
      </c>
      <c r="BK16" s="4">
        <v>2898</v>
      </c>
      <c r="BL16" s="4">
        <v>579630</v>
      </c>
      <c r="BM16" s="4">
        <v>579648</v>
      </c>
      <c r="BN16" s="4">
        <v>100000</v>
      </c>
      <c r="BO16" s="4">
        <v>100032</v>
      </c>
      <c r="BP16" s="4">
        <v>23</v>
      </c>
      <c r="BQ16" s="4">
        <v>4283</v>
      </c>
      <c r="BR16" s="4">
        <v>201776</v>
      </c>
      <c r="BS16" s="4">
        <v>201792</v>
      </c>
      <c r="BU16" s="4">
        <v>7</v>
      </c>
      <c r="BV16" s="4">
        <v>2342</v>
      </c>
      <c r="BW16" s="4">
        <v>2895</v>
      </c>
      <c r="BX16" s="4">
        <v>579000</v>
      </c>
      <c r="BY16" s="4">
        <v>579008</v>
      </c>
      <c r="BZ16" s="4">
        <v>100000</v>
      </c>
      <c r="CA16" s="4">
        <v>100032</v>
      </c>
      <c r="CB16" s="4">
        <v>0</v>
      </c>
      <c r="CC16" s="4">
        <v>3967</v>
      </c>
      <c r="CD16" s="4">
        <v>201460</v>
      </c>
      <c r="CE16" s="4">
        <v>201472</v>
      </c>
      <c r="CG16" s="4">
        <v>7</v>
      </c>
      <c r="CH16" s="4">
        <v>2327</v>
      </c>
      <c r="CI16" s="4">
        <v>2915</v>
      </c>
      <c r="CJ16" s="4">
        <v>583047</v>
      </c>
      <c r="CK16" s="4">
        <v>583040</v>
      </c>
      <c r="CL16" s="4">
        <v>100000</v>
      </c>
      <c r="CM16" s="4">
        <v>100032</v>
      </c>
      <c r="CN16" s="4">
        <v>15</v>
      </c>
      <c r="CO16" s="4">
        <v>4253</v>
      </c>
      <c r="CP16" s="4">
        <v>201746</v>
      </c>
      <c r="CQ16" s="4">
        <v>201728</v>
      </c>
    </row>
    <row r="17" spans="1:95" x14ac:dyDescent="0.25">
      <c r="A17" s="4">
        <v>8</v>
      </c>
      <c r="B17" s="4">
        <v>2409</v>
      </c>
      <c r="C17" s="4">
        <v>2810</v>
      </c>
      <c r="D17" s="4">
        <v>562188</v>
      </c>
      <c r="E17" s="4">
        <v>562176</v>
      </c>
      <c r="F17" s="4">
        <v>100000</v>
      </c>
      <c r="G17" s="4">
        <v>100032</v>
      </c>
      <c r="H17" s="4">
        <v>31</v>
      </c>
      <c r="I17" s="4">
        <v>4315</v>
      </c>
      <c r="J17" s="4">
        <v>201808</v>
      </c>
      <c r="K17" s="4">
        <v>201792</v>
      </c>
      <c r="M17" s="4">
        <v>8</v>
      </c>
      <c r="N17" s="4">
        <v>2417</v>
      </c>
      <c r="O17" s="4">
        <v>2800</v>
      </c>
      <c r="P17" s="4">
        <v>560000</v>
      </c>
      <c r="Q17" s="4">
        <v>560000</v>
      </c>
      <c r="R17" s="4">
        <v>100000</v>
      </c>
      <c r="S17" s="4">
        <v>100032</v>
      </c>
      <c r="T17" s="4">
        <v>0</v>
      </c>
      <c r="U17" s="4">
        <v>3791</v>
      </c>
      <c r="V17" s="4">
        <v>201284</v>
      </c>
      <c r="W17" s="4">
        <v>201280</v>
      </c>
      <c r="Y17" s="4">
        <v>8</v>
      </c>
      <c r="Z17" s="4">
        <v>2409</v>
      </c>
      <c r="AA17" s="4">
        <v>2810</v>
      </c>
      <c r="AB17" s="4">
        <v>561953</v>
      </c>
      <c r="AC17" s="4">
        <v>561984</v>
      </c>
      <c r="AD17" s="4">
        <v>100000</v>
      </c>
      <c r="AE17" s="4">
        <v>100032</v>
      </c>
      <c r="AF17" s="4">
        <v>444</v>
      </c>
      <c r="AG17" s="4">
        <v>6271</v>
      </c>
      <c r="AH17" s="4">
        <v>203763</v>
      </c>
      <c r="AI17" s="4">
        <v>203776</v>
      </c>
      <c r="AK17" s="4">
        <v>8</v>
      </c>
      <c r="AL17" s="4">
        <v>2417</v>
      </c>
      <c r="AM17" s="4">
        <v>2800</v>
      </c>
      <c r="AN17" s="4">
        <v>560391</v>
      </c>
      <c r="AO17" s="4">
        <v>560384</v>
      </c>
      <c r="AP17" s="4">
        <v>100000</v>
      </c>
      <c r="AQ17" s="4">
        <v>100032</v>
      </c>
      <c r="AR17" s="4">
        <v>2029</v>
      </c>
      <c r="AS17" s="4">
        <v>15294</v>
      </c>
      <c r="AT17" s="4">
        <v>212780</v>
      </c>
      <c r="AU17" s="4">
        <v>212800</v>
      </c>
      <c r="AW17" s="4">
        <v>8</v>
      </c>
      <c r="AX17" s="4">
        <v>2365</v>
      </c>
      <c r="AY17" s="4">
        <v>2866</v>
      </c>
      <c r="AZ17" s="4">
        <v>573203</v>
      </c>
      <c r="BA17" s="4">
        <v>573184</v>
      </c>
      <c r="BB17" s="4">
        <v>100000</v>
      </c>
      <c r="BC17" s="4">
        <v>100032</v>
      </c>
      <c r="BD17" s="4">
        <v>0</v>
      </c>
      <c r="BE17" s="4">
        <v>4210</v>
      </c>
      <c r="BF17" s="4">
        <v>201703</v>
      </c>
      <c r="BG17" s="4">
        <v>201728</v>
      </c>
      <c r="BI17" s="4">
        <v>8</v>
      </c>
      <c r="BJ17" s="4">
        <v>2340</v>
      </c>
      <c r="BK17" s="4">
        <v>2898</v>
      </c>
      <c r="BL17" s="4">
        <v>579557</v>
      </c>
      <c r="BM17" s="4">
        <v>579584</v>
      </c>
      <c r="BN17" s="4">
        <v>100000</v>
      </c>
      <c r="BO17" s="4">
        <v>100032</v>
      </c>
      <c r="BP17" s="4">
        <v>0</v>
      </c>
      <c r="BQ17" s="4">
        <v>4134</v>
      </c>
      <c r="BR17" s="4">
        <v>201627</v>
      </c>
      <c r="BS17" s="4">
        <v>201600</v>
      </c>
      <c r="BU17" s="4">
        <v>8</v>
      </c>
      <c r="BV17" s="4">
        <v>2342</v>
      </c>
      <c r="BW17" s="4">
        <v>2895</v>
      </c>
      <c r="BX17" s="4">
        <v>579110</v>
      </c>
      <c r="BY17" s="4">
        <v>579136</v>
      </c>
      <c r="BZ17" s="4">
        <v>100000</v>
      </c>
      <c r="CA17" s="4">
        <v>100032</v>
      </c>
      <c r="CB17" s="4">
        <v>0</v>
      </c>
      <c r="CC17" s="4">
        <v>3875</v>
      </c>
      <c r="CD17" s="4">
        <v>201368</v>
      </c>
      <c r="CE17" s="4">
        <v>201344</v>
      </c>
      <c r="CG17" s="4">
        <v>8</v>
      </c>
      <c r="CH17" s="4">
        <v>2327</v>
      </c>
      <c r="CI17" s="4">
        <v>2915</v>
      </c>
      <c r="CJ17" s="4">
        <v>583094</v>
      </c>
      <c r="CK17" s="4">
        <v>583104</v>
      </c>
      <c r="CL17" s="4">
        <v>100000</v>
      </c>
      <c r="CM17" s="4">
        <v>100032</v>
      </c>
      <c r="CN17" s="4">
        <v>0</v>
      </c>
      <c r="CO17" s="4">
        <v>4159</v>
      </c>
      <c r="CP17" s="4">
        <v>201652</v>
      </c>
      <c r="CQ17" s="4">
        <v>201664</v>
      </c>
    </row>
    <row r="18" spans="1:95" x14ac:dyDescent="0.25">
      <c r="A18" s="4">
        <v>9</v>
      </c>
      <c r="B18" s="4">
        <v>2412</v>
      </c>
      <c r="C18" s="4">
        <v>2807</v>
      </c>
      <c r="D18" s="4">
        <v>561563</v>
      </c>
      <c r="E18" s="4">
        <v>561536</v>
      </c>
      <c r="F18" s="4">
        <v>100000</v>
      </c>
      <c r="G18" s="4">
        <v>100032</v>
      </c>
      <c r="H18" s="4">
        <v>26</v>
      </c>
      <c r="I18" s="4">
        <v>4295</v>
      </c>
      <c r="J18" s="4">
        <v>201788</v>
      </c>
      <c r="K18" s="4">
        <v>201792</v>
      </c>
      <c r="M18" s="4">
        <v>9</v>
      </c>
      <c r="N18" s="4">
        <v>2417</v>
      </c>
      <c r="O18" s="4">
        <v>2801</v>
      </c>
      <c r="P18" s="4">
        <v>560313</v>
      </c>
      <c r="Q18" s="4">
        <v>560320</v>
      </c>
      <c r="R18" s="4">
        <v>100000</v>
      </c>
      <c r="S18" s="4">
        <v>100032</v>
      </c>
      <c r="T18" s="4">
        <v>0</v>
      </c>
      <c r="U18" s="4">
        <v>4031</v>
      </c>
      <c r="V18" s="4">
        <v>201524</v>
      </c>
      <c r="W18" s="4">
        <v>201536</v>
      </c>
      <c r="Y18" s="4">
        <v>9</v>
      </c>
      <c r="Z18" s="4">
        <v>2412</v>
      </c>
      <c r="AA18" s="4">
        <v>2807</v>
      </c>
      <c r="AB18" s="4">
        <v>561563</v>
      </c>
      <c r="AC18" s="4">
        <v>561536</v>
      </c>
      <c r="AD18" s="4">
        <v>100000</v>
      </c>
      <c r="AE18" s="4">
        <v>100032</v>
      </c>
      <c r="AF18" s="4">
        <v>483</v>
      </c>
      <c r="AG18" s="4">
        <v>6478</v>
      </c>
      <c r="AH18" s="4">
        <v>203970</v>
      </c>
      <c r="AI18" s="4">
        <v>203968</v>
      </c>
      <c r="AK18" s="4">
        <v>9</v>
      </c>
      <c r="AL18" s="4">
        <v>2419</v>
      </c>
      <c r="AM18" s="4">
        <v>2798</v>
      </c>
      <c r="AN18" s="4">
        <v>559609</v>
      </c>
      <c r="AO18" s="4">
        <v>559616</v>
      </c>
      <c r="AP18" s="4">
        <v>100000</v>
      </c>
      <c r="AQ18" s="4">
        <v>100032</v>
      </c>
      <c r="AR18" s="4">
        <v>2048</v>
      </c>
      <c r="AS18" s="4">
        <v>15364</v>
      </c>
      <c r="AT18" s="4">
        <v>212850</v>
      </c>
      <c r="AU18" s="4">
        <v>212864</v>
      </c>
      <c r="AW18" s="4">
        <v>9</v>
      </c>
      <c r="AX18" s="4">
        <v>2364</v>
      </c>
      <c r="AY18" s="4">
        <v>2867</v>
      </c>
      <c r="AZ18" s="4">
        <v>573359</v>
      </c>
      <c r="BA18" s="4">
        <v>573376</v>
      </c>
      <c r="BB18" s="4">
        <v>100000</v>
      </c>
      <c r="BC18" s="4">
        <v>100032</v>
      </c>
      <c r="BD18" s="4">
        <v>9</v>
      </c>
      <c r="BE18" s="4">
        <v>4233</v>
      </c>
      <c r="BF18" s="4">
        <v>201726</v>
      </c>
      <c r="BG18" s="4">
        <v>201728</v>
      </c>
      <c r="BI18" s="4">
        <v>9</v>
      </c>
      <c r="BJ18" s="4">
        <v>2341</v>
      </c>
      <c r="BK18" s="4">
        <v>2897</v>
      </c>
      <c r="BL18" s="4">
        <v>579510</v>
      </c>
      <c r="BM18" s="4">
        <v>579520</v>
      </c>
      <c r="BN18" s="4">
        <v>100000</v>
      </c>
      <c r="BO18" s="4">
        <v>100032</v>
      </c>
      <c r="BP18" s="4">
        <v>0</v>
      </c>
      <c r="BQ18" s="4">
        <v>3818</v>
      </c>
      <c r="BR18" s="4">
        <v>201311</v>
      </c>
      <c r="BS18" s="4">
        <v>201280</v>
      </c>
      <c r="BU18" s="4">
        <v>9</v>
      </c>
      <c r="BV18" s="4">
        <v>2341</v>
      </c>
      <c r="BW18" s="4">
        <v>2896</v>
      </c>
      <c r="BX18" s="4">
        <v>579203</v>
      </c>
      <c r="BY18" s="4">
        <v>579200</v>
      </c>
      <c r="BZ18" s="4">
        <v>100000</v>
      </c>
      <c r="CA18" s="4">
        <v>100032</v>
      </c>
      <c r="CB18" s="4">
        <v>0</v>
      </c>
      <c r="CC18" s="4">
        <v>3794</v>
      </c>
      <c r="CD18" s="4">
        <v>201287</v>
      </c>
      <c r="CE18" s="4">
        <v>201280</v>
      </c>
      <c r="CG18" s="4">
        <v>9</v>
      </c>
      <c r="CH18" s="4">
        <v>2327</v>
      </c>
      <c r="CI18" s="4">
        <v>2914</v>
      </c>
      <c r="CJ18" s="4">
        <v>582859</v>
      </c>
      <c r="CK18" s="4">
        <v>582848</v>
      </c>
      <c r="CL18" s="4">
        <v>100000</v>
      </c>
      <c r="CM18" s="4">
        <v>100032</v>
      </c>
      <c r="CN18" s="4">
        <v>0</v>
      </c>
      <c r="CO18" s="4">
        <v>4142</v>
      </c>
      <c r="CP18" s="4">
        <v>201609</v>
      </c>
      <c r="CQ18" s="4">
        <v>201600</v>
      </c>
    </row>
    <row r="19" spans="1:95" x14ac:dyDescent="0.25">
      <c r="A19" s="4">
        <v>10</v>
      </c>
      <c r="B19" s="4">
        <v>2412</v>
      </c>
      <c r="C19" s="4">
        <v>2807</v>
      </c>
      <c r="D19" s="4">
        <v>561406</v>
      </c>
      <c r="E19" s="4">
        <v>561408</v>
      </c>
      <c r="F19" s="4">
        <v>100000</v>
      </c>
      <c r="G19" s="4">
        <v>100032</v>
      </c>
      <c r="H19" s="4">
        <v>6</v>
      </c>
      <c r="I19" s="4">
        <v>4225</v>
      </c>
      <c r="J19" s="4">
        <v>201694</v>
      </c>
      <c r="K19" s="4">
        <v>201664</v>
      </c>
      <c r="M19" s="4">
        <v>10</v>
      </c>
      <c r="N19" s="4">
        <v>2416</v>
      </c>
      <c r="O19" s="4">
        <v>2802</v>
      </c>
      <c r="P19" s="4">
        <v>560469</v>
      </c>
      <c r="Q19" s="4">
        <v>560448</v>
      </c>
      <c r="R19" s="4">
        <v>100000</v>
      </c>
      <c r="S19" s="4">
        <v>100032</v>
      </c>
      <c r="T19" s="4">
        <v>0</v>
      </c>
      <c r="U19" s="4">
        <v>3941</v>
      </c>
      <c r="V19" s="4">
        <v>201434</v>
      </c>
      <c r="W19" s="4">
        <v>201408</v>
      </c>
      <c r="Y19" s="4">
        <v>10</v>
      </c>
      <c r="Z19" s="4">
        <v>2410</v>
      </c>
      <c r="AA19" s="4">
        <v>2809</v>
      </c>
      <c r="AB19" s="4">
        <v>561719</v>
      </c>
      <c r="AC19" s="4">
        <v>561728</v>
      </c>
      <c r="AD19" s="4">
        <v>100000</v>
      </c>
      <c r="AE19" s="4">
        <v>100032</v>
      </c>
      <c r="AF19" s="4">
        <v>439</v>
      </c>
      <c r="AG19" s="4">
        <v>6250</v>
      </c>
      <c r="AH19" s="4">
        <v>203742</v>
      </c>
      <c r="AI19" s="4">
        <v>203712</v>
      </c>
      <c r="AK19" s="4">
        <v>10</v>
      </c>
      <c r="AL19" s="4">
        <v>2419</v>
      </c>
      <c r="AM19" s="4">
        <v>2798</v>
      </c>
      <c r="AN19" s="4">
        <v>559609</v>
      </c>
      <c r="AO19" s="4">
        <v>559616</v>
      </c>
      <c r="AP19" s="4">
        <v>100000</v>
      </c>
      <c r="AQ19" s="4">
        <v>100032</v>
      </c>
      <c r="AR19" s="4">
        <v>2020</v>
      </c>
      <c r="AS19" s="4">
        <v>15244</v>
      </c>
      <c r="AT19" s="4">
        <v>212730</v>
      </c>
      <c r="AU19" s="4">
        <v>212736</v>
      </c>
      <c r="AW19" s="4">
        <v>10</v>
      </c>
      <c r="AX19" s="4">
        <v>2363</v>
      </c>
      <c r="AY19" s="4">
        <v>2868</v>
      </c>
      <c r="AZ19" s="4">
        <v>573672</v>
      </c>
      <c r="BA19" s="4">
        <v>573696</v>
      </c>
      <c r="BB19" s="4">
        <v>100000</v>
      </c>
      <c r="BC19" s="4">
        <v>100032</v>
      </c>
      <c r="BD19" s="4">
        <v>0</v>
      </c>
      <c r="BE19" s="4">
        <v>4092</v>
      </c>
      <c r="BF19" s="4">
        <v>201585</v>
      </c>
      <c r="BG19" s="4">
        <v>201600</v>
      </c>
      <c r="BI19" s="4">
        <v>10</v>
      </c>
      <c r="BJ19" s="4">
        <v>2341</v>
      </c>
      <c r="BK19" s="4">
        <v>2897</v>
      </c>
      <c r="BL19" s="4">
        <v>579412</v>
      </c>
      <c r="BM19" s="4">
        <v>579392</v>
      </c>
      <c r="BN19" s="4">
        <v>100000</v>
      </c>
      <c r="BO19" s="4">
        <v>100032</v>
      </c>
      <c r="BP19" s="4">
        <v>0</v>
      </c>
      <c r="BQ19" s="4">
        <v>3051</v>
      </c>
      <c r="BR19" s="4">
        <v>200545</v>
      </c>
      <c r="BS19" s="4">
        <v>200576</v>
      </c>
      <c r="BU19" s="4">
        <v>10</v>
      </c>
      <c r="BV19" s="4">
        <v>2341</v>
      </c>
      <c r="BW19" s="4">
        <v>2897</v>
      </c>
      <c r="BX19" s="4">
        <v>579359</v>
      </c>
      <c r="BY19" s="4">
        <v>579328</v>
      </c>
      <c r="BZ19" s="4">
        <v>100000</v>
      </c>
      <c r="CA19" s="4">
        <v>100032</v>
      </c>
      <c r="CB19" s="4">
        <v>0</v>
      </c>
      <c r="CC19" s="4">
        <v>4020</v>
      </c>
      <c r="CD19" s="4">
        <v>201513</v>
      </c>
      <c r="CE19" s="4">
        <v>201536</v>
      </c>
      <c r="CG19" s="4">
        <v>10</v>
      </c>
      <c r="CH19" s="4">
        <v>2329</v>
      </c>
      <c r="CI19" s="4">
        <v>2912</v>
      </c>
      <c r="CJ19" s="4">
        <v>582609</v>
      </c>
      <c r="CK19" s="4">
        <v>582592</v>
      </c>
      <c r="CL19" s="4">
        <v>100000</v>
      </c>
      <c r="CM19" s="4">
        <v>100032</v>
      </c>
      <c r="CN19" s="4">
        <v>0</v>
      </c>
      <c r="CO19" s="4">
        <v>4212</v>
      </c>
      <c r="CP19" s="4">
        <v>201705</v>
      </c>
      <c r="CQ19" s="4">
        <v>201728</v>
      </c>
    </row>
    <row r="20" spans="1:95" x14ac:dyDescent="0.25">
      <c r="A20" s="4">
        <v>11</v>
      </c>
      <c r="B20" s="4">
        <v>2412</v>
      </c>
      <c r="C20" s="4">
        <v>2806</v>
      </c>
      <c r="D20" s="4">
        <v>561094</v>
      </c>
      <c r="E20" s="4">
        <v>561088</v>
      </c>
      <c r="F20" s="4">
        <v>100000</v>
      </c>
      <c r="G20" s="4">
        <v>100032</v>
      </c>
      <c r="H20" s="4">
        <v>0</v>
      </c>
      <c r="I20" s="4">
        <v>4034</v>
      </c>
      <c r="J20" s="4">
        <v>201527</v>
      </c>
      <c r="K20" s="4">
        <v>201536</v>
      </c>
      <c r="M20" s="4">
        <v>11</v>
      </c>
      <c r="N20" s="4">
        <v>2414</v>
      </c>
      <c r="O20" s="4">
        <v>2804</v>
      </c>
      <c r="P20" s="4">
        <v>560781</v>
      </c>
      <c r="Q20" s="4">
        <v>560768</v>
      </c>
      <c r="R20" s="4">
        <v>100000</v>
      </c>
      <c r="S20" s="4">
        <v>100032</v>
      </c>
      <c r="T20" s="4">
        <v>0</v>
      </c>
      <c r="U20" s="4">
        <v>4034</v>
      </c>
      <c r="V20" s="4">
        <v>201527</v>
      </c>
      <c r="W20" s="4">
        <v>201536</v>
      </c>
      <c r="Y20" s="4">
        <v>11</v>
      </c>
      <c r="Z20" s="4">
        <v>2412</v>
      </c>
      <c r="AA20" s="4">
        <v>2807</v>
      </c>
      <c r="AB20" s="4">
        <v>561484</v>
      </c>
      <c r="AC20" s="4">
        <v>561472</v>
      </c>
      <c r="AD20" s="4">
        <v>100000</v>
      </c>
      <c r="AE20" s="4">
        <v>100032</v>
      </c>
      <c r="AF20" s="4">
        <v>428</v>
      </c>
      <c r="AG20" s="4">
        <v>6191</v>
      </c>
      <c r="AH20" s="4">
        <v>203683</v>
      </c>
      <c r="AI20" s="4">
        <v>203712</v>
      </c>
      <c r="AK20" s="4">
        <v>11</v>
      </c>
      <c r="AL20" s="4">
        <v>2419</v>
      </c>
      <c r="AM20" s="4">
        <v>2798</v>
      </c>
      <c r="AN20" s="4">
        <v>559531</v>
      </c>
      <c r="AO20" s="4">
        <v>559552</v>
      </c>
      <c r="AP20" s="4">
        <v>100000</v>
      </c>
      <c r="AQ20" s="4">
        <v>100032</v>
      </c>
      <c r="AR20" s="4">
        <v>2039</v>
      </c>
      <c r="AS20" s="4">
        <v>15357</v>
      </c>
      <c r="AT20" s="4">
        <v>212843</v>
      </c>
      <c r="AU20" s="4">
        <v>212864</v>
      </c>
      <c r="AW20" s="4">
        <v>11</v>
      </c>
      <c r="AX20" s="4">
        <v>2363</v>
      </c>
      <c r="AY20" s="4">
        <v>2869</v>
      </c>
      <c r="AZ20" s="4">
        <v>573828</v>
      </c>
      <c r="BA20" s="4">
        <v>573824</v>
      </c>
      <c r="BB20" s="4">
        <v>100000</v>
      </c>
      <c r="BC20" s="4">
        <v>100032</v>
      </c>
      <c r="BD20" s="4">
        <v>0</v>
      </c>
      <c r="BE20" s="4">
        <v>4214</v>
      </c>
      <c r="BF20" s="4">
        <v>201707</v>
      </c>
      <c r="BG20" s="4">
        <v>201728</v>
      </c>
      <c r="BI20" s="4">
        <v>11</v>
      </c>
      <c r="BJ20" s="4">
        <v>2341</v>
      </c>
      <c r="BK20" s="4">
        <v>2897</v>
      </c>
      <c r="BL20" s="4">
        <v>579360</v>
      </c>
      <c r="BM20" s="4">
        <v>579392</v>
      </c>
      <c r="BN20" s="4">
        <v>100000</v>
      </c>
      <c r="BO20" s="4">
        <v>100032</v>
      </c>
      <c r="BP20" s="4">
        <v>0</v>
      </c>
      <c r="BQ20" s="4">
        <v>4206</v>
      </c>
      <c r="BR20" s="4">
        <v>201699</v>
      </c>
      <c r="BS20" s="4">
        <v>201728</v>
      </c>
      <c r="BU20" s="4">
        <v>11</v>
      </c>
      <c r="BV20" s="4">
        <v>2340</v>
      </c>
      <c r="BW20" s="4">
        <v>2898</v>
      </c>
      <c r="BX20" s="4">
        <v>579641</v>
      </c>
      <c r="BY20" s="4">
        <v>579648</v>
      </c>
      <c r="BZ20" s="4">
        <v>100000</v>
      </c>
      <c r="CA20" s="4">
        <v>100032</v>
      </c>
      <c r="CB20" s="4">
        <v>0</v>
      </c>
      <c r="CC20" s="4">
        <v>3983</v>
      </c>
      <c r="CD20" s="4">
        <v>201476</v>
      </c>
      <c r="CE20" s="4">
        <v>201472</v>
      </c>
      <c r="CG20" s="4">
        <v>11</v>
      </c>
      <c r="CH20" s="4">
        <v>2330</v>
      </c>
      <c r="CI20" s="4">
        <v>2911</v>
      </c>
      <c r="CJ20" s="4">
        <v>582360</v>
      </c>
      <c r="CK20" s="4">
        <v>582336</v>
      </c>
      <c r="CL20" s="4">
        <v>100000</v>
      </c>
      <c r="CM20" s="4">
        <v>100032</v>
      </c>
      <c r="CN20" s="4">
        <v>5</v>
      </c>
      <c r="CO20" s="4">
        <v>4224</v>
      </c>
      <c r="CP20" s="4">
        <v>201717</v>
      </c>
      <c r="CQ20" s="4">
        <v>201728</v>
      </c>
    </row>
    <row r="21" spans="1:95" x14ac:dyDescent="0.25">
      <c r="A21" s="4">
        <v>12</v>
      </c>
      <c r="B21" s="4">
        <v>2411</v>
      </c>
      <c r="C21" s="4">
        <v>2808</v>
      </c>
      <c r="D21" s="4">
        <v>561719</v>
      </c>
      <c r="E21" s="4">
        <v>561728</v>
      </c>
      <c r="F21" s="4">
        <v>100000</v>
      </c>
      <c r="G21" s="4">
        <v>100032</v>
      </c>
      <c r="H21" s="4">
        <v>88</v>
      </c>
      <c r="I21" s="4">
        <v>4553</v>
      </c>
      <c r="J21" s="4">
        <v>202046</v>
      </c>
      <c r="K21" s="4">
        <v>202048</v>
      </c>
      <c r="M21" s="4">
        <v>12</v>
      </c>
      <c r="N21" s="4">
        <v>2412</v>
      </c>
      <c r="O21" s="4">
        <v>2806</v>
      </c>
      <c r="P21" s="4">
        <v>561172</v>
      </c>
      <c r="Q21" s="4">
        <v>561152</v>
      </c>
      <c r="R21" s="4">
        <v>100000</v>
      </c>
      <c r="S21" s="4">
        <v>100032</v>
      </c>
      <c r="T21" s="4">
        <v>0</v>
      </c>
      <c r="U21" s="4">
        <v>4057</v>
      </c>
      <c r="V21" s="4">
        <v>201550</v>
      </c>
      <c r="W21" s="4">
        <v>201536</v>
      </c>
      <c r="Y21" s="4">
        <v>12</v>
      </c>
      <c r="Z21" s="4">
        <v>2413</v>
      </c>
      <c r="AA21" s="4">
        <v>2805</v>
      </c>
      <c r="AB21" s="4">
        <v>560938</v>
      </c>
      <c r="AC21" s="4">
        <v>560960</v>
      </c>
      <c r="AD21" s="4">
        <v>100000</v>
      </c>
      <c r="AE21" s="4">
        <v>100032</v>
      </c>
      <c r="AF21" s="4">
        <v>438</v>
      </c>
      <c r="AG21" s="4">
        <v>6243</v>
      </c>
      <c r="AH21" s="4">
        <v>203735</v>
      </c>
      <c r="AI21" s="4">
        <v>203712</v>
      </c>
      <c r="AK21" s="4">
        <v>12</v>
      </c>
      <c r="AL21" s="4">
        <v>2419</v>
      </c>
      <c r="AM21" s="4">
        <v>2798</v>
      </c>
      <c r="AN21" s="4">
        <v>559688</v>
      </c>
      <c r="AO21" s="4">
        <v>559680</v>
      </c>
      <c r="AP21" s="4">
        <v>100000</v>
      </c>
      <c r="AQ21" s="4">
        <v>100032</v>
      </c>
      <c r="AR21" s="4">
        <v>2048</v>
      </c>
      <c r="AS21" s="4">
        <v>15363</v>
      </c>
      <c r="AT21" s="4">
        <v>212849</v>
      </c>
      <c r="AU21" s="4">
        <v>212864</v>
      </c>
      <c r="AW21" s="4">
        <v>12</v>
      </c>
      <c r="AX21" s="4">
        <v>2363</v>
      </c>
      <c r="AY21" s="4">
        <v>2868</v>
      </c>
      <c r="AZ21" s="4">
        <v>573594</v>
      </c>
      <c r="BA21" s="4">
        <v>573568</v>
      </c>
      <c r="BB21" s="4">
        <v>100000</v>
      </c>
      <c r="BC21" s="4">
        <v>100032</v>
      </c>
      <c r="BD21" s="4">
        <v>0</v>
      </c>
      <c r="BE21" s="4">
        <v>4141</v>
      </c>
      <c r="BF21" s="4">
        <v>201634</v>
      </c>
      <c r="BG21" s="4">
        <v>201664</v>
      </c>
      <c r="BI21" s="4">
        <v>12</v>
      </c>
      <c r="BJ21" s="4">
        <v>2341</v>
      </c>
      <c r="BK21" s="4">
        <v>2896</v>
      </c>
      <c r="BL21" s="4">
        <v>579307</v>
      </c>
      <c r="BM21" s="4">
        <v>579328</v>
      </c>
      <c r="BN21" s="4">
        <v>100000</v>
      </c>
      <c r="BO21" s="4">
        <v>100032</v>
      </c>
      <c r="BP21" s="4">
        <v>0</v>
      </c>
      <c r="BQ21" s="4">
        <v>4112</v>
      </c>
      <c r="BR21" s="4">
        <v>201605</v>
      </c>
      <c r="BS21" s="4">
        <v>201600</v>
      </c>
      <c r="BU21" s="4">
        <v>12</v>
      </c>
      <c r="BV21" s="4">
        <v>2339</v>
      </c>
      <c r="BW21" s="4">
        <v>2899</v>
      </c>
      <c r="BX21" s="4">
        <v>579859</v>
      </c>
      <c r="BY21" s="4">
        <v>579840</v>
      </c>
      <c r="BZ21" s="4">
        <v>100000</v>
      </c>
      <c r="CA21" s="4">
        <v>100032</v>
      </c>
      <c r="CB21" s="4">
        <v>0</v>
      </c>
      <c r="CC21" s="4">
        <v>3901</v>
      </c>
      <c r="CD21" s="4">
        <v>201394</v>
      </c>
      <c r="CE21" s="4">
        <v>201408</v>
      </c>
      <c r="CG21" s="4">
        <v>12</v>
      </c>
      <c r="CH21" s="4">
        <v>2330</v>
      </c>
      <c r="CI21" s="4">
        <v>2911</v>
      </c>
      <c r="CJ21" s="4">
        <v>582313</v>
      </c>
      <c r="CK21" s="4">
        <v>582336</v>
      </c>
      <c r="CL21" s="4">
        <v>100000</v>
      </c>
      <c r="CM21" s="4">
        <v>100032</v>
      </c>
      <c r="CN21" s="4">
        <v>0</v>
      </c>
      <c r="CO21" s="4">
        <v>4163</v>
      </c>
      <c r="CP21" s="4">
        <v>201665</v>
      </c>
      <c r="CQ21" s="4">
        <v>201664</v>
      </c>
    </row>
    <row r="22" spans="1:95" x14ac:dyDescent="0.25">
      <c r="A22" s="4">
        <v>13</v>
      </c>
      <c r="B22" s="4">
        <v>2410</v>
      </c>
      <c r="C22" s="4">
        <v>2809</v>
      </c>
      <c r="D22" s="4">
        <v>561797</v>
      </c>
      <c r="E22" s="4">
        <v>561792</v>
      </c>
      <c r="F22" s="4">
        <v>100000</v>
      </c>
      <c r="G22" s="4">
        <v>100032</v>
      </c>
      <c r="H22" s="4">
        <v>42</v>
      </c>
      <c r="I22" s="4">
        <v>4357</v>
      </c>
      <c r="J22" s="4">
        <v>201850</v>
      </c>
      <c r="K22" s="4">
        <v>201856</v>
      </c>
      <c r="M22" s="4">
        <v>13</v>
      </c>
      <c r="N22" s="4">
        <v>2412</v>
      </c>
      <c r="O22" s="4">
        <v>2807</v>
      </c>
      <c r="P22" s="4">
        <v>561484</v>
      </c>
      <c r="Q22" s="4">
        <v>561472</v>
      </c>
      <c r="R22" s="4">
        <v>100000</v>
      </c>
      <c r="S22" s="4">
        <v>100032</v>
      </c>
      <c r="T22" s="4">
        <v>0</v>
      </c>
      <c r="U22" s="4">
        <v>4117</v>
      </c>
      <c r="V22" s="4">
        <v>201610</v>
      </c>
      <c r="W22" s="4">
        <v>201600</v>
      </c>
      <c r="Y22" s="4">
        <v>13</v>
      </c>
      <c r="Z22" s="4">
        <v>2415</v>
      </c>
      <c r="AA22" s="4">
        <v>2803</v>
      </c>
      <c r="AB22" s="4">
        <v>560703</v>
      </c>
      <c r="AC22" s="4">
        <v>560704</v>
      </c>
      <c r="AD22" s="4">
        <v>100000</v>
      </c>
      <c r="AE22" s="4">
        <v>100032</v>
      </c>
      <c r="AF22" s="4">
        <v>485</v>
      </c>
      <c r="AG22" s="4">
        <v>6487</v>
      </c>
      <c r="AH22" s="4">
        <v>203979</v>
      </c>
      <c r="AI22" s="4">
        <v>203968</v>
      </c>
      <c r="AK22" s="4">
        <v>13</v>
      </c>
      <c r="AL22" s="4">
        <v>2417</v>
      </c>
      <c r="AM22" s="4">
        <v>2800</v>
      </c>
      <c r="AN22" s="4">
        <v>560078</v>
      </c>
      <c r="AO22" s="4">
        <v>560064</v>
      </c>
      <c r="AP22" s="4">
        <v>100000</v>
      </c>
      <c r="AQ22" s="4">
        <v>100032</v>
      </c>
      <c r="AR22" s="4">
        <v>2019</v>
      </c>
      <c r="AS22" s="4">
        <v>15238</v>
      </c>
      <c r="AT22" s="4">
        <v>212724</v>
      </c>
      <c r="AU22" s="4">
        <v>212736</v>
      </c>
      <c r="AW22" s="4">
        <v>13</v>
      </c>
      <c r="AX22" s="4">
        <v>2363</v>
      </c>
      <c r="AY22" s="4">
        <v>2868</v>
      </c>
      <c r="AZ22" s="4">
        <v>573594</v>
      </c>
      <c r="BA22" s="4">
        <v>573568</v>
      </c>
      <c r="BB22" s="4">
        <v>100000</v>
      </c>
      <c r="BC22" s="4">
        <v>100032</v>
      </c>
      <c r="BD22" s="4">
        <v>41</v>
      </c>
      <c r="BE22" s="4">
        <v>4353</v>
      </c>
      <c r="BF22" s="4">
        <v>201846</v>
      </c>
      <c r="BG22" s="4">
        <v>201856</v>
      </c>
      <c r="BI22" s="4">
        <v>13</v>
      </c>
      <c r="BJ22" s="4">
        <v>2341</v>
      </c>
      <c r="BK22" s="4">
        <v>2896</v>
      </c>
      <c r="BL22" s="4">
        <v>579229</v>
      </c>
      <c r="BM22" s="4">
        <v>579200</v>
      </c>
      <c r="BN22" s="4">
        <v>100000</v>
      </c>
      <c r="BO22" s="4">
        <v>100032</v>
      </c>
      <c r="BP22" s="4">
        <v>6</v>
      </c>
      <c r="BQ22" s="4">
        <v>4225</v>
      </c>
      <c r="BR22" s="4">
        <v>201718</v>
      </c>
      <c r="BS22" s="4">
        <v>201728</v>
      </c>
      <c r="BU22" s="4">
        <v>13</v>
      </c>
      <c r="BV22" s="4">
        <v>2338</v>
      </c>
      <c r="BW22" s="4">
        <v>2900</v>
      </c>
      <c r="BX22" s="4">
        <v>580031</v>
      </c>
      <c r="BY22" s="4">
        <v>580032</v>
      </c>
      <c r="BZ22" s="4">
        <v>100000</v>
      </c>
      <c r="CA22" s="4">
        <v>100032</v>
      </c>
      <c r="CB22" s="4">
        <v>0</v>
      </c>
      <c r="CC22" s="4">
        <v>4012</v>
      </c>
      <c r="CD22" s="4">
        <v>201505</v>
      </c>
      <c r="CE22" s="4">
        <v>201536</v>
      </c>
      <c r="CG22" s="4">
        <v>13</v>
      </c>
      <c r="CH22" s="4">
        <v>2329</v>
      </c>
      <c r="CI22" s="4">
        <v>2912</v>
      </c>
      <c r="CJ22" s="4">
        <v>582360</v>
      </c>
      <c r="CK22" s="4">
        <v>582336</v>
      </c>
      <c r="CL22" s="4">
        <v>100000</v>
      </c>
      <c r="CM22" s="4">
        <v>100032</v>
      </c>
      <c r="CN22" s="4">
        <v>0</v>
      </c>
      <c r="CO22" s="4">
        <v>4175</v>
      </c>
      <c r="CP22" s="4">
        <v>201668</v>
      </c>
      <c r="CQ22" s="4">
        <v>201664</v>
      </c>
    </row>
    <row r="23" spans="1:95" x14ac:dyDescent="0.25">
      <c r="A23" s="4">
        <v>14</v>
      </c>
      <c r="B23" s="4">
        <v>2412</v>
      </c>
      <c r="C23" s="4">
        <v>2807</v>
      </c>
      <c r="D23" s="4">
        <v>561484</v>
      </c>
      <c r="E23" s="4">
        <v>561472</v>
      </c>
      <c r="F23" s="4">
        <v>100000</v>
      </c>
      <c r="G23" s="4">
        <v>100032</v>
      </c>
      <c r="H23" s="4">
        <v>48</v>
      </c>
      <c r="I23" s="4">
        <v>4385</v>
      </c>
      <c r="J23" s="4">
        <v>201878</v>
      </c>
      <c r="K23" s="4">
        <v>201856</v>
      </c>
      <c r="M23" s="4">
        <v>14</v>
      </c>
      <c r="N23" s="4">
        <v>2409</v>
      </c>
      <c r="O23" s="4">
        <v>2810</v>
      </c>
      <c r="P23" s="4">
        <v>561953</v>
      </c>
      <c r="Q23" s="4">
        <v>561984</v>
      </c>
      <c r="R23" s="4">
        <v>100000</v>
      </c>
      <c r="S23" s="4">
        <v>100032</v>
      </c>
      <c r="T23" s="4">
        <v>36</v>
      </c>
      <c r="U23" s="4">
        <v>4332</v>
      </c>
      <c r="V23" s="4">
        <v>201825</v>
      </c>
      <c r="W23" s="4">
        <v>201856</v>
      </c>
      <c r="Y23" s="4">
        <v>14</v>
      </c>
      <c r="Z23" s="4">
        <v>2413</v>
      </c>
      <c r="AA23" s="4">
        <v>2805</v>
      </c>
      <c r="AB23" s="4">
        <v>561016</v>
      </c>
      <c r="AC23" s="4">
        <v>561024</v>
      </c>
      <c r="AD23" s="4">
        <v>100000</v>
      </c>
      <c r="AE23" s="4">
        <v>100032</v>
      </c>
      <c r="AF23" s="4">
        <v>488</v>
      </c>
      <c r="AG23" s="4">
        <v>6501</v>
      </c>
      <c r="AH23" s="4">
        <v>203993</v>
      </c>
      <c r="AI23" s="4">
        <v>203968</v>
      </c>
      <c r="AK23" s="4">
        <v>14</v>
      </c>
      <c r="AL23" s="4">
        <v>2418</v>
      </c>
      <c r="AM23" s="4">
        <v>2799</v>
      </c>
      <c r="AN23" s="4">
        <v>560000</v>
      </c>
      <c r="AO23" s="4">
        <v>560000</v>
      </c>
      <c r="AP23" s="4">
        <v>100000</v>
      </c>
      <c r="AQ23" s="4">
        <v>100032</v>
      </c>
      <c r="AR23" s="4">
        <v>2018</v>
      </c>
      <c r="AS23" s="4">
        <v>15231</v>
      </c>
      <c r="AT23" s="4">
        <v>212717</v>
      </c>
      <c r="AU23" s="4">
        <v>212736</v>
      </c>
      <c r="AW23" s="4">
        <v>14</v>
      </c>
      <c r="AX23" s="4">
        <v>2363</v>
      </c>
      <c r="AY23" s="4">
        <v>2869</v>
      </c>
      <c r="AZ23" s="4">
        <v>573828</v>
      </c>
      <c r="BA23" s="4">
        <v>573824</v>
      </c>
      <c r="BB23" s="4">
        <v>100000</v>
      </c>
      <c r="BC23" s="4">
        <v>100032</v>
      </c>
      <c r="BD23" s="4">
        <v>29</v>
      </c>
      <c r="BE23" s="4">
        <v>4308</v>
      </c>
      <c r="BF23" s="4">
        <v>201801</v>
      </c>
      <c r="BG23" s="4">
        <v>201792</v>
      </c>
      <c r="BI23" s="4">
        <v>14</v>
      </c>
      <c r="BJ23" s="4">
        <v>2341</v>
      </c>
      <c r="BK23" s="4">
        <v>2896</v>
      </c>
      <c r="BL23" s="4">
        <v>579172</v>
      </c>
      <c r="BM23" s="4">
        <v>579200</v>
      </c>
      <c r="BN23" s="4">
        <v>100000</v>
      </c>
      <c r="BO23" s="4">
        <v>100032</v>
      </c>
      <c r="BP23" s="4">
        <v>0</v>
      </c>
      <c r="BQ23" s="4">
        <v>3993</v>
      </c>
      <c r="BR23" s="4">
        <v>201486</v>
      </c>
      <c r="BS23" s="4">
        <v>201472</v>
      </c>
      <c r="BU23" s="4">
        <v>14</v>
      </c>
      <c r="BV23" s="4">
        <v>2338</v>
      </c>
      <c r="BW23" s="4">
        <v>2901</v>
      </c>
      <c r="BX23" s="4">
        <v>580156</v>
      </c>
      <c r="BY23" s="4">
        <v>580160</v>
      </c>
      <c r="BZ23" s="4">
        <v>100000</v>
      </c>
      <c r="CA23" s="4">
        <v>100032</v>
      </c>
      <c r="CB23" s="4">
        <v>0</v>
      </c>
      <c r="CC23" s="4">
        <v>4083</v>
      </c>
      <c r="CD23" s="4">
        <v>201576</v>
      </c>
      <c r="CE23" s="4">
        <v>201600</v>
      </c>
      <c r="CG23" s="4">
        <v>14</v>
      </c>
      <c r="CH23" s="4">
        <v>2329</v>
      </c>
      <c r="CI23" s="4">
        <v>2912</v>
      </c>
      <c r="CJ23" s="4">
        <v>582422</v>
      </c>
      <c r="CK23" s="4">
        <v>582400</v>
      </c>
      <c r="CL23" s="4">
        <v>100000</v>
      </c>
      <c r="CM23" s="4">
        <v>100032</v>
      </c>
      <c r="CN23" s="4">
        <v>0</v>
      </c>
      <c r="CO23" s="4">
        <v>4166</v>
      </c>
      <c r="CP23" s="4">
        <v>201659</v>
      </c>
      <c r="CQ23" s="4">
        <v>201664</v>
      </c>
    </row>
    <row r="24" spans="1:95" x14ac:dyDescent="0.25">
      <c r="A24" s="4">
        <v>15</v>
      </c>
      <c r="B24" s="4">
        <v>2412</v>
      </c>
      <c r="C24" s="4">
        <v>2806</v>
      </c>
      <c r="D24" s="4">
        <v>561172</v>
      </c>
      <c r="E24" s="4">
        <v>561152</v>
      </c>
      <c r="F24" s="4">
        <v>100000</v>
      </c>
      <c r="G24" s="4">
        <v>100032</v>
      </c>
      <c r="H24" s="4">
        <v>31</v>
      </c>
      <c r="I24" s="4">
        <v>4314</v>
      </c>
      <c r="J24" s="4">
        <v>201807</v>
      </c>
      <c r="K24" s="4">
        <v>201792</v>
      </c>
      <c r="M24" s="4">
        <v>15</v>
      </c>
      <c r="N24" s="4">
        <v>2407</v>
      </c>
      <c r="O24" s="4">
        <v>2812</v>
      </c>
      <c r="P24" s="4">
        <v>562422</v>
      </c>
      <c r="Q24" s="4">
        <v>562432</v>
      </c>
      <c r="R24" s="4">
        <v>100000</v>
      </c>
      <c r="S24" s="4">
        <v>100032</v>
      </c>
      <c r="T24" s="4">
        <v>43</v>
      </c>
      <c r="U24" s="4">
        <v>4364</v>
      </c>
      <c r="V24" s="4">
        <v>201857</v>
      </c>
      <c r="W24" s="4">
        <v>201856</v>
      </c>
      <c r="Y24" s="4">
        <v>15</v>
      </c>
      <c r="Z24" s="4">
        <v>2412</v>
      </c>
      <c r="AA24" s="4">
        <v>2807</v>
      </c>
      <c r="AB24" s="4">
        <v>561406</v>
      </c>
      <c r="AC24" s="4">
        <v>561408</v>
      </c>
      <c r="AD24" s="4">
        <v>100000</v>
      </c>
      <c r="AE24" s="4">
        <v>100032</v>
      </c>
      <c r="AF24" s="4">
        <v>491</v>
      </c>
      <c r="AG24" s="4">
        <v>6517</v>
      </c>
      <c r="AH24" s="4">
        <v>204009</v>
      </c>
      <c r="AI24" s="4">
        <v>204032</v>
      </c>
      <c r="AK24" s="4">
        <v>15</v>
      </c>
      <c r="AL24" s="4">
        <v>2418</v>
      </c>
      <c r="AM24" s="4">
        <v>2799</v>
      </c>
      <c r="AN24" s="4">
        <v>559766</v>
      </c>
      <c r="AO24" s="4">
        <v>559744</v>
      </c>
      <c r="AP24" s="4">
        <v>100000</v>
      </c>
      <c r="AQ24" s="4">
        <v>100032</v>
      </c>
      <c r="AR24" s="4">
        <v>2036</v>
      </c>
      <c r="AS24" s="4">
        <v>15340</v>
      </c>
      <c r="AT24" s="4">
        <v>212826</v>
      </c>
      <c r="AU24" s="4">
        <v>212800</v>
      </c>
      <c r="AW24" s="4">
        <v>15</v>
      </c>
      <c r="AX24" s="4">
        <v>2362</v>
      </c>
      <c r="AY24" s="4">
        <v>2870</v>
      </c>
      <c r="AZ24" s="4">
        <v>573906</v>
      </c>
      <c r="BA24" s="4">
        <v>573888</v>
      </c>
      <c r="BB24" s="4">
        <v>100000</v>
      </c>
      <c r="BC24" s="4">
        <v>100032</v>
      </c>
      <c r="BD24" s="4">
        <v>34</v>
      </c>
      <c r="BE24" s="4">
        <v>4324</v>
      </c>
      <c r="BF24" s="4">
        <v>201817</v>
      </c>
      <c r="BG24" s="4">
        <v>201792</v>
      </c>
      <c r="BI24" s="4">
        <v>15</v>
      </c>
      <c r="BJ24" s="4">
        <v>2342</v>
      </c>
      <c r="BK24" s="4">
        <v>2895</v>
      </c>
      <c r="BL24" s="4">
        <v>579084</v>
      </c>
      <c r="BM24" s="4">
        <v>579072</v>
      </c>
      <c r="BN24" s="4">
        <v>100000</v>
      </c>
      <c r="BO24" s="4">
        <v>100032</v>
      </c>
      <c r="BP24" s="4">
        <v>32</v>
      </c>
      <c r="BQ24" s="4">
        <v>4317</v>
      </c>
      <c r="BR24" s="4">
        <v>201810</v>
      </c>
      <c r="BS24" s="4">
        <v>201792</v>
      </c>
      <c r="BU24" s="4">
        <v>15</v>
      </c>
      <c r="BV24" s="4">
        <v>2338</v>
      </c>
      <c r="BW24" s="4">
        <v>2901</v>
      </c>
      <c r="BX24" s="4">
        <v>580250</v>
      </c>
      <c r="BY24" s="4">
        <v>580224</v>
      </c>
      <c r="BZ24" s="4">
        <v>100000</v>
      </c>
      <c r="CA24" s="4">
        <v>100032</v>
      </c>
      <c r="CB24" s="4">
        <v>0</v>
      </c>
      <c r="CC24" s="4">
        <v>3935</v>
      </c>
      <c r="CD24" s="4">
        <v>201428</v>
      </c>
      <c r="CE24" s="4">
        <v>201408</v>
      </c>
      <c r="CG24" s="4">
        <v>15</v>
      </c>
      <c r="CH24" s="4">
        <v>2330</v>
      </c>
      <c r="CI24" s="4">
        <v>2911</v>
      </c>
      <c r="CJ24" s="4">
        <v>582360</v>
      </c>
      <c r="CK24" s="4">
        <v>582336</v>
      </c>
      <c r="CL24" s="4">
        <v>100000</v>
      </c>
      <c r="CM24" s="4">
        <v>100032</v>
      </c>
      <c r="CN24" s="4">
        <v>0</v>
      </c>
      <c r="CO24" s="4">
        <v>4073</v>
      </c>
      <c r="CP24" s="4">
        <v>201566</v>
      </c>
      <c r="CQ24" s="4">
        <v>201536</v>
      </c>
    </row>
    <row r="25" spans="1:95" x14ac:dyDescent="0.25">
      <c r="A25" s="4">
        <v>16</v>
      </c>
      <c r="B25" s="4">
        <v>2413</v>
      </c>
      <c r="C25" s="4">
        <v>2805</v>
      </c>
      <c r="D25" s="4">
        <v>561094</v>
      </c>
      <c r="E25" s="4">
        <v>561088</v>
      </c>
      <c r="F25" s="4">
        <v>100000</v>
      </c>
      <c r="G25" s="4">
        <v>100032</v>
      </c>
      <c r="H25" s="4">
        <v>41</v>
      </c>
      <c r="I25" s="4">
        <v>4355</v>
      </c>
      <c r="J25" s="4">
        <v>201848</v>
      </c>
      <c r="K25" s="4">
        <v>201856</v>
      </c>
      <c r="M25" s="4">
        <v>16</v>
      </c>
      <c r="N25" s="4">
        <v>2405</v>
      </c>
      <c r="O25" s="4">
        <v>2815</v>
      </c>
      <c r="P25" s="4">
        <v>562813</v>
      </c>
      <c r="Q25" s="4">
        <v>562816</v>
      </c>
      <c r="R25" s="4">
        <v>100000</v>
      </c>
      <c r="S25" s="4">
        <v>100032</v>
      </c>
      <c r="T25" s="4">
        <v>64</v>
      </c>
      <c r="U25" s="4">
        <v>4451</v>
      </c>
      <c r="V25" s="4">
        <v>201944</v>
      </c>
      <c r="W25" s="4">
        <v>201920</v>
      </c>
      <c r="Y25" s="4">
        <v>16</v>
      </c>
      <c r="Z25" s="4">
        <v>2411</v>
      </c>
      <c r="AA25" s="4">
        <v>2808</v>
      </c>
      <c r="AB25" s="4">
        <v>561719</v>
      </c>
      <c r="AC25" s="4">
        <v>561728</v>
      </c>
      <c r="AD25" s="4">
        <v>100000</v>
      </c>
      <c r="AE25" s="4">
        <v>100032</v>
      </c>
      <c r="AF25" s="4">
        <v>511</v>
      </c>
      <c r="AG25" s="4">
        <v>6622</v>
      </c>
      <c r="AH25" s="4">
        <v>204113</v>
      </c>
      <c r="AI25" s="4">
        <v>204096</v>
      </c>
      <c r="AK25" s="4">
        <v>16</v>
      </c>
      <c r="AL25" s="4">
        <v>2418</v>
      </c>
      <c r="AM25" s="4">
        <v>2799</v>
      </c>
      <c r="AN25" s="4">
        <v>559844</v>
      </c>
      <c r="AO25" s="4">
        <v>559872</v>
      </c>
      <c r="AP25" s="4">
        <v>100000</v>
      </c>
      <c r="AQ25" s="4">
        <v>100032</v>
      </c>
      <c r="AR25" s="4">
        <v>2018</v>
      </c>
      <c r="AS25" s="4">
        <v>15232</v>
      </c>
      <c r="AT25" s="4">
        <v>212798</v>
      </c>
      <c r="AU25" s="4">
        <v>212800</v>
      </c>
      <c r="AW25" s="4">
        <v>16</v>
      </c>
      <c r="AX25" s="4">
        <v>2362</v>
      </c>
      <c r="AY25" s="4">
        <v>2870</v>
      </c>
      <c r="AZ25" s="4">
        <v>573984</v>
      </c>
      <c r="BA25" s="4">
        <v>574016</v>
      </c>
      <c r="BB25" s="4">
        <v>100000</v>
      </c>
      <c r="BC25" s="4">
        <v>100032</v>
      </c>
      <c r="BD25" s="4">
        <v>19</v>
      </c>
      <c r="BE25" s="4">
        <v>4269</v>
      </c>
      <c r="BF25" s="4">
        <v>201762</v>
      </c>
      <c r="BG25" s="4">
        <v>201792</v>
      </c>
      <c r="BI25" s="4">
        <v>16</v>
      </c>
      <c r="BJ25" s="4">
        <v>2342</v>
      </c>
      <c r="BK25" s="4">
        <v>2895</v>
      </c>
      <c r="BL25" s="4">
        <v>578969</v>
      </c>
      <c r="BM25" s="4">
        <v>578944</v>
      </c>
      <c r="BN25" s="4">
        <v>100000</v>
      </c>
      <c r="BO25" s="4">
        <v>100032</v>
      </c>
      <c r="BP25" s="4">
        <v>36</v>
      </c>
      <c r="BQ25" s="4">
        <v>4334</v>
      </c>
      <c r="BR25" s="4">
        <v>201827</v>
      </c>
      <c r="BS25" s="4">
        <v>201856</v>
      </c>
      <c r="BU25" s="4">
        <v>16</v>
      </c>
      <c r="BV25" s="4">
        <v>2337</v>
      </c>
      <c r="BW25" s="4">
        <v>2902</v>
      </c>
      <c r="BX25" s="4">
        <v>580391</v>
      </c>
      <c r="BY25" s="4">
        <v>580416</v>
      </c>
      <c r="BZ25" s="4">
        <v>100000</v>
      </c>
      <c r="CA25" s="4">
        <v>100032</v>
      </c>
      <c r="CB25" s="4">
        <v>0</v>
      </c>
      <c r="CC25" s="4">
        <v>4012</v>
      </c>
      <c r="CD25" s="4">
        <v>201505</v>
      </c>
      <c r="CE25" s="4">
        <v>201536</v>
      </c>
      <c r="CG25" s="4">
        <v>16</v>
      </c>
      <c r="CH25" s="4">
        <v>2329</v>
      </c>
      <c r="CI25" s="4">
        <v>2912</v>
      </c>
      <c r="CJ25" s="4">
        <v>582375</v>
      </c>
      <c r="CK25" s="4">
        <v>582400</v>
      </c>
      <c r="CL25" s="4">
        <v>100000</v>
      </c>
      <c r="CM25" s="4">
        <v>100032</v>
      </c>
      <c r="CN25" s="4">
        <v>0</v>
      </c>
      <c r="CO25" s="4">
        <v>4190</v>
      </c>
      <c r="CP25" s="4">
        <v>201683</v>
      </c>
      <c r="CQ25" s="4">
        <v>201664</v>
      </c>
    </row>
    <row r="26" spans="1:95" x14ac:dyDescent="0.25">
      <c r="A26" s="4">
        <v>17</v>
      </c>
      <c r="B26" s="4">
        <v>2412</v>
      </c>
      <c r="C26" s="4">
        <v>2806</v>
      </c>
      <c r="D26" s="4">
        <v>561172</v>
      </c>
      <c r="E26" s="4">
        <v>561152</v>
      </c>
      <c r="F26" s="4">
        <v>100000</v>
      </c>
      <c r="G26" s="4">
        <v>100032</v>
      </c>
      <c r="H26" s="4">
        <v>18</v>
      </c>
      <c r="I26" s="4">
        <v>4264</v>
      </c>
      <c r="J26" s="4">
        <v>201757</v>
      </c>
      <c r="K26" s="4">
        <v>201728</v>
      </c>
      <c r="M26" s="4">
        <v>17</v>
      </c>
      <c r="N26" s="4">
        <v>2403</v>
      </c>
      <c r="O26" s="4">
        <v>2817</v>
      </c>
      <c r="P26" s="4">
        <v>563516</v>
      </c>
      <c r="Q26" s="4">
        <v>563520</v>
      </c>
      <c r="R26" s="4">
        <v>100000</v>
      </c>
      <c r="S26" s="4">
        <v>100032</v>
      </c>
      <c r="T26" s="4">
        <v>50</v>
      </c>
      <c r="U26" s="4">
        <v>4392</v>
      </c>
      <c r="V26" s="4">
        <v>201885</v>
      </c>
      <c r="W26" s="4">
        <v>201856</v>
      </c>
      <c r="Y26" s="4">
        <v>17</v>
      </c>
      <c r="Z26" s="4">
        <v>2411</v>
      </c>
      <c r="AA26" s="4">
        <v>2808</v>
      </c>
      <c r="AB26" s="4">
        <v>561641</v>
      </c>
      <c r="AC26" s="4">
        <v>561664</v>
      </c>
      <c r="AD26" s="4">
        <v>100000</v>
      </c>
      <c r="AE26" s="4">
        <v>100032</v>
      </c>
      <c r="AF26" s="4">
        <v>425</v>
      </c>
      <c r="AG26" s="4">
        <v>6175</v>
      </c>
      <c r="AH26" s="4">
        <v>203667</v>
      </c>
      <c r="AI26" s="4">
        <v>203648</v>
      </c>
      <c r="AK26" s="4">
        <v>17</v>
      </c>
      <c r="AL26" s="4">
        <v>2417</v>
      </c>
      <c r="AM26" s="4">
        <v>2800</v>
      </c>
      <c r="AN26" s="4">
        <v>559922</v>
      </c>
      <c r="AO26" s="4">
        <v>559936</v>
      </c>
      <c r="AP26" s="4">
        <v>100000</v>
      </c>
      <c r="AQ26" s="4">
        <v>100032</v>
      </c>
      <c r="AR26" s="4">
        <v>2048</v>
      </c>
      <c r="AS26" s="4">
        <v>15369</v>
      </c>
      <c r="AT26" s="4">
        <v>212855</v>
      </c>
      <c r="AU26" s="4">
        <v>212864</v>
      </c>
      <c r="AW26" s="4">
        <v>17</v>
      </c>
      <c r="AX26" s="4">
        <v>2362</v>
      </c>
      <c r="AY26" s="4">
        <v>2870</v>
      </c>
      <c r="AZ26" s="4">
        <v>573984</v>
      </c>
      <c r="BA26" s="4">
        <v>574016</v>
      </c>
      <c r="BB26" s="4">
        <v>100000</v>
      </c>
      <c r="BC26" s="4">
        <v>100032</v>
      </c>
      <c r="BD26" s="4">
        <v>5</v>
      </c>
      <c r="BE26" s="4">
        <v>4224</v>
      </c>
      <c r="BF26" s="4">
        <v>201717</v>
      </c>
      <c r="BG26" s="4">
        <v>201728</v>
      </c>
      <c r="BI26" s="4">
        <v>17</v>
      </c>
      <c r="BJ26" s="4">
        <v>2343</v>
      </c>
      <c r="BK26" s="4">
        <v>2894</v>
      </c>
      <c r="BL26" s="4">
        <v>578896</v>
      </c>
      <c r="BM26" s="4">
        <v>578880</v>
      </c>
      <c r="BN26" s="4">
        <v>100000</v>
      </c>
      <c r="BO26" s="4">
        <v>100032</v>
      </c>
      <c r="BP26" s="4">
        <v>28</v>
      </c>
      <c r="BQ26" s="4">
        <v>4303</v>
      </c>
      <c r="BR26" s="4">
        <v>201796</v>
      </c>
      <c r="BS26" s="4">
        <v>201792</v>
      </c>
      <c r="BU26" s="4">
        <v>17</v>
      </c>
      <c r="BV26" s="4">
        <v>2336</v>
      </c>
      <c r="BW26" s="4">
        <v>2903</v>
      </c>
      <c r="BX26" s="4">
        <v>580500</v>
      </c>
      <c r="BY26" s="4">
        <v>580480</v>
      </c>
      <c r="BZ26" s="4">
        <v>100000</v>
      </c>
      <c r="CA26" s="4">
        <v>100032</v>
      </c>
      <c r="CB26" s="4">
        <v>12</v>
      </c>
      <c r="CC26" s="4">
        <v>4245</v>
      </c>
      <c r="CD26" s="4">
        <v>201738</v>
      </c>
      <c r="CE26" s="4">
        <v>201728</v>
      </c>
      <c r="CG26" s="4">
        <v>17</v>
      </c>
      <c r="CH26" s="4">
        <v>2327</v>
      </c>
      <c r="CI26" s="4">
        <v>2914</v>
      </c>
      <c r="CJ26" s="4">
        <v>582781</v>
      </c>
      <c r="CK26" s="4">
        <v>582784</v>
      </c>
      <c r="CL26" s="4">
        <v>100000</v>
      </c>
      <c r="CM26" s="4">
        <v>100032</v>
      </c>
      <c r="CN26" s="4">
        <v>12</v>
      </c>
      <c r="CO26" s="4">
        <v>4244</v>
      </c>
      <c r="CP26" s="4">
        <v>201737</v>
      </c>
      <c r="CQ26" s="4">
        <v>201728</v>
      </c>
    </row>
    <row r="27" spans="1:95" x14ac:dyDescent="0.25">
      <c r="A27" s="4">
        <v>18</v>
      </c>
      <c r="B27" s="4">
        <v>2413</v>
      </c>
      <c r="C27" s="4">
        <v>2805</v>
      </c>
      <c r="D27" s="4">
        <v>560859</v>
      </c>
      <c r="E27" s="4">
        <v>560832</v>
      </c>
      <c r="F27" s="4">
        <v>100000</v>
      </c>
      <c r="G27" s="4">
        <v>100032</v>
      </c>
      <c r="H27" s="4">
        <v>28</v>
      </c>
      <c r="I27" s="4">
        <v>4301</v>
      </c>
      <c r="J27" s="4">
        <v>201794</v>
      </c>
      <c r="K27" s="4">
        <v>201792</v>
      </c>
      <c r="M27" s="4">
        <v>18</v>
      </c>
      <c r="N27" s="4">
        <v>2402</v>
      </c>
      <c r="O27" s="4">
        <v>2818</v>
      </c>
      <c r="P27" s="4">
        <v>563672</v>
      </c>
      <c r="Q27" s="4">
        <v>563648</v>
      </c>
      <c r="R27" s="4">
        <v>100000</v>
      </c>
      <c r="S27" s="4">
        <v>100032</v>
      </c>
      <c r="T27" s="4">
        <v>15</v>
      </c>
      <c r="U27" s="4">
        <v>4254</v>
      </c>
      <c r="V27" s="4">
        <v>201747</v>
      </c>
      <c r="W27" s="4">
        <v>201728</v>
      </c>
      <c r="Y27" s="4">
        <v>18</v>
      </c>
      <c r="Z27" s="4">
        <v>2411</v>
      </c>
      <c r="AA27" s="4">
        <v>2808</v>
      </c>
      <c r="AB27" s="4">
        <v>561641</v>
      </c>
      <c r="AC27" s="4">
        <v>561664</v>
      </c>
      <c r="AD27" s="4">
        <v>100000</v>
      </c>
      <c r="AE27" s="4">
        <v>100032</v>
      </c>
      <c r="AF27" s="4">
        <v>416</v>
      </c>
      <c r="AG27" s="4">
        <v>6128</v>
      </c>
      <c r="AH27" s="4">
        <v>203620</v>
      </c>
      <c r="AI27" s="4">
        <v>203648</v>
      </c>
      <c r="AK27" s="4">
        <v>18</v>
      </c>
      <c r="AL27" s="4">
        <v>2417</v>
      </c>
      <c r="AM27" s="4">
        <v>2800</v>
      </c>
      <c r="AN27" s="4">
        <v>560156</v>
      </c>
      <c r="AO27" s="4">
        <v>560128</v>
      </c>
      <c r="AP27" s="4">
        <v>100000</v>
      </c>
      <c r="AQ27" s="4">
        <v>100032</v>
      </c>
      <c r="AR27" s="4">
        <v>2048</v>
      </c>
      <c r="AS27" s="4">
        <v>15428</v>
      </c>
      <c r="AT27" s="4">
        <v>212914</v>
      </c>
      <c r="AU27" s="4">
        <v>212928</v>
      </c>
      <c r="AW27" s="4">
        <v>18</v>
      </c>
      <c r="AX27" s="4">
        <v>2362</v>
      </c>
      <c r="AY27" s="4">
        <v>2870</v>
      </c>
      <c r="AZ27" s="4">
        <v>574063</v>
      </c>
      <c r="BA27" s="4">
        <v>574080</v>
      </c>
      <c r="BB27" s="4">
        <v>100000</v>
      </c>
      <c r="BC27" s="4">
        <v>100032</v>
      </c>
      <c r="BD27" s="4">
        <v>48</v>
      </c>
      <c r="BE27" s="4">
        <v>4383</v>
      </c>
      <c r="BF27" s="4">
        <v>201876</v>
      </c>
      <c r="BG27" s="4">
        <v>201856</v>
      </c>
      <c r="BI27" s="4">
        <v>18</v>
      </c>
      <c r="BJ27" s="4">
        <v>2343</v>
      </c>
      <c r="BK27" s="4">
        <v>2894</v>
      </c>
      <c r="BL27" s="4">
        <v>578839</v>
      </c>
      <c r="BM27" s="4">
        <v>578816</v>
      </c>
      <c r="BN27" s="4">
        <v>100000</v>
      </c>
      <c r="BO27" s="4">
        <v>100032</v>
      </c>
      <c r="BP27" s="4">
        <v>25</v>
      </c>
      <c r="BQ27" s="4">
        <v>4291</v>
      </c>
      <c r="BR27" s="4">
        <v>201784</v>
      </c>
      <c r="BS27" s="4">
        <v>201792</v>
      </c>
      <c r="BU27" s="4">
        <v>18</v>
      </c>
      <c r="BV27" s="4">
        <v>2336</v>
      </c>
      <c r="BW27" s="4">
        <v>2903</v>
      </c>
      <c r="BX27" s="4">
        <v>580672</v>
      </c>
      <c r="BY27" s="4">
        <v>580672</v>
      </c>
      <c r="BZ27" s="4">
        <v>100000</v>
      </c>
      <c r="CA27" s="4">
        <v>100032</v>
      </c>
      <c r="CB27" s="4">
        <v>0</v>
      </c>
      <c r="CC27" s="4">
        <v>4170</v>
      </c>
      <c r="CD27" s="4">
        <v>201663</v>
      </c>
      <c r="CE27" s="4">
        <v>201664</v>
      </c>
      <c r="CG27" s="4">
        <v>18</v>
      </c>
      <c r="CH27" s="4">
        <v>2327</v>
      </c>
      <c r="CI27" s="4">
        <v>2915</v>
      </c>
      <c r="CJ27" s="4">
        <v>583110</v>
      </c>
      <c r="CK27" s="4">
        <v>583104</v>
      </c>
      <c r="CL27" s="4">
        <v>100000</v>
      </c>
      <c r="CM27" s="4">
        <v>100032</v>
      </c>
      <c r="CN27" s="4">
        <v>23</v>
      </c>
      <c r="CO27" s="4">
        <v>4284</v>
      </c>
      <c r="CP27" s="4">
        <v>201777</v>
      </c>
      <c r="CQ27" s="4">
        <v>201792</v>
      </c>
    </row>
    <row r="28" spans="1:95" x14ac:dyDescent="0.25">
      <c r="A28" s="4">
        <v>19</v>
      </c>
      <c r="B28" s="4">
        <v>2412</v>
      </c>
      <c r="C28" s="4">
        <v>2807</v>
      </c>
      <c r="D28" s="4">
        <v>561328</v>
      </c>
      <c r="E28" s="4">
        <v>561344</v>
      </c>
      <c r="F28" s="4">
        <v>100000</v>
      </c>
      <c r="G28" s="4">
        <v>100032</v>
      </c>
      <c r="H28" s="4">
        <v>24</v>
      </c>
      <c r="I28" s="4">
        <v>4287</v>
      </c>
      <c r="J28" s="4">
        <v>201780</v>
      </c>
      <c r="K28" s="4">
        <v>201792</v>
      </c>
      <c r="M28" s="4">
        <v>19</v>
      </c>
      <c r="N28" s="4">
        <v>2401</v>
      </c>
      <c r="O28" s="4">
        <v>2820</v>
      </c>
      <c r="P28" s="4">
        <v>563906</v>
      </c>
      <c r="Q28" s="4">
        <v>563904</v>
      </c>
      <c r="R28" s="4">
        <v>100000</v>
      </c>
      <c r="S28" s="4">
        <v>100032</v>
      </c>
      <c r="T28" s="4">
        <v>32</v>
      </c>
      <c r="U28" s="4">
        <v>4317</v>
      </c>
      <c r="V28" s="4">
        <v>201810</v>
      </c>
      <c r="W28" s="4">
        <v>201792</v>
      </c>
      <c r="Y28" s="4">
        <v>19</v>
      </c>
      <c r="Z28" s="4">
        <v>2411</v>
      </c>
      <c r="AA28" s="4">
        <v>2808</v>
      </c>
      <c r="AB28" s="4">
        <v>561641</v>
      </c>
      <c r="AC28" s="4">
        <v>561664</v>
      </c>
      <c r="AD28" s="4">
        <v>100000</v>
      </c>
      <c r="AE28" s="4">
        <v>100032</v>
      </c>
      <c r="AF28" s="4">
        <v>459</v>
      </c>
      <c r="AG28" s="4">
        <v>6349</v>
      </c>
      <c r="AH28" s="4">
        <v>203842</v>
      </c>
      <c r="AI28" s="4">
        <v>203840</v>
      </c>
      <c r="AK28" s="4">
        <v>19</v>
      </c>
      <c r="AL28" s="4">
        <v>2416</v>
      </c>
      <c r="AM28" s="4">
        <v>2802</v>
      </c>
      <c r="AN28" s="4">
        <v>560469</v>
      </c>
      <c r="AO28" s="4">
        <v>560448</v>
      </c>
      <c r="AP28" s="4">
        <v>100000</v>
      </c>
      <c r="AQ28" s="4">
        <v>100032</v>
      </c>
      <c r="AR28" s="4">
        <v>2038</v>
      </c>
      <c r="AS28" s="4">
        <v>15348</v>
      </c>
      <c r="AT28" s="4">
        <v>212834</v>
      </c>
      <c r="AU28" s="4">
        <v>212864</v>
      </c>
      <c r="AW28" s="4">
        <v>19</v>
      </c>
      <c r="AX28" s="4">
        <v>2363</v>
      </c>
      <c r="AY28" s="4">
        <v>2869</v>
      </c>
      <c r="AZ28" s="4">
        <v>573906</v>
      </c>
      <c r="BA28" s="4">
        <v>573888</v>
      </c>
      <c r="BB28" s="4">
        <v>100000</v>
      </c>
      <c r="BC28" s="4">
        <v>100032</v>
      </c>
      <c r="BD28" s="4">
        <v>0</v>
      </c>
      <c r="BE28" s="4">
        <v>4170</v>
      </c>
      <c r="BF28" s="4">
        <v>201663</v>
      </c>
      <c r="BG28" s="4">
        <v>201664</v>
      </c>
      <c r="BI28" s="4">
        <v>19</v>
      </c>
      <c r="BJ28" s="4">
        <v>2343</v>
      </c>
      <c r="BK28" s="4">
        <v>2894</v>
      </c>
      <c r="BL28" s="4">
        <v>578776</v>
      </c>
      <c r="BM28" s="4">
        <v>578752</v>
      </c>
      <c r="BN28" s="4">
        <v>100000</v>
      </c>
      <c r="BO28" s="4">
        <v>100032</v>
      </c>
      <c r="BP28" s="4">
        <v>25</v>
      </c>
      <c r="BQ28" s="4">
        <v>4289</v>
      </c>
      <c r="BR28" s="4">
        <v>201782</v>
      </c>
      <c r="BS28" s="4">
        <v>201792</v>
      </c>
      <c r="BU28" s="4">
        <v>19</v>
      </c>
      <c r="BV28" s="4">
        <v>2336</v>
      </c>
      <c r="BW28" s="4">
        <v>2903</v>
      </c>
      <c r="BX28" s="4">
        <v>580719</v>
      </c>
      <c r="BY28" s="4">
        <v>580736</v>
      </c>
      <c r="BZ28" s="4">
        <v>100000</v>
      </c>
      <c r="CA28" s="4">
        <v>100032</v>
      </c>
      <c r="CB28" s="4">
        <v>13</v>
      </c>
      <c r="CC28" s="4">
        <v>4248</v>
      </c>
      <c r="CD28" s="4">
        <v>201741</v>
      </c>
      <c r="CE28" s="4">
        <v>201728</v>
      </c>
      <c r="CG28" s="4">
        <v>19</v>
      </c>
      <c r="CH28" s="4">
        <v>2325</v>
      </c>
      <c r="CI28" s="4">
        <v>2917</v>
      </c>
      <c r="CJ28" s="4">
        <v>583406</v>
      </c>
      <c r="CK28" s="4">
        <v>583424</v>
      </c>
      <c r="CL28" s="4">
        <v>100000</v>
      </c>
      <c r="CM28" s="4">
        <v>100032</v>
      </c>
      <c r="CN28" s="4">
        <v>44</v>
      </c>
      <c r="CO28" s="4">
        <v>4367</v>
      </c>
      <c r="CP28" s="4">
        <v>201860</v>
      </c>
      <c r="CQ28" s="4">
        <v>201856</v>
      </c>
    </row>
    <row r="29" spans="1:95" x14ac:dyDescent="0.25">
      <c r="A29" s="4">
        <v>20</v>
      </c>
      <c r="B29" s="4">
        <v>2412</v>
      </c>
      <c r="C29" s="4">
        <v>2807</v>
      </c>
      <c r="D29" s="4">
        <v>561563</v>
      </c>
      <c r="E29" s="4">
        <v>561536</v>
      </c>
      <c r="F29" s="4">
        <v>100000</v>
      </c>
      <c r="G29" s="4">
        <v>100032</v>
      </c>
      <c r="H29" s="4">
        <v>10</v>
      </c>
      <c r="I29" s="4">
        <v>4238</v>
      </c>
      <c r="J29" s="4">
        <v>201731</v>
      </c>
      <c r="K29" s="4">
        <v>201728</v>
      </c>
      <c r="M29" s="4">
        <v>20</v>
      </c>
      <c r="N29" s="4">
        <v>2401</v>
      </c>
      <c r="O29" s="4">
        <v>2820</v>
      </c>
      <c r="P29" s="4">
        <v>563984</v>
      </c>
      <c r="Q29" s="4">
        <v>563968</v>
      </c>
      <c r="R29" s="4">
        <v>100000</v>
      </c>
      <c r="S29" s="4">
        <v>100032</v>
      </c>
      <c r="T29" s="4">
        <v>90</v>
      </c>
      <c r="U29" s="4">
        <v>4562</v>
      </c>
      <c r="V29" s="4">
        <v>202055</v>
      </c>
      <c r="W29" s="4">
        <v>202048</v>
      </c>
      <c r="Y29" s="4">
        <v>20</v>
      </c>
      <c r="Z29" s="4">
        <v>2409</v>
      </c>
      <c r="AA29" s="4">
        <v>2810</v>
      </c>
      <c r="AB29" s="4">
        <v>561797</v>
      </c>
      <c r="AC29" s="4">
        <v>561792</v>
      </c>
      <c r="AD29" s="4">
        <v>100000</v>
      </c>
      <c r="AE29" s="4">
        <v>100032</v>
      </c>
      <c r="AF29" s="4">
        <v>499</v>
      </c>
      <c r="AG29" s="4">
        <v>6561</v>
      </c>
      <c r="AH29" s="4">
        <v>204052</v>
      </c>
      <c r="AI29" s="4">
        <v>204032</v>
      </c>
      <c r="AK29" s="4">
        <v>20</v>
      </c>
      <c r="AL29" s="4">
        <v>2412</v>
      </c>
      <c r="AM29" s="4">
        <v>2806</v>
      </c>
      <c r="AN29" s="4">
        <v>560938</v>
      </c>
      <c r="AO29" s="4">
        <v>560960</v>
      </c>
      <c r="AP29" s="4">
        <v>100000</v>
      </c>
      <c r="AQ29" s="4">
        <v>100032</v>
      </c>
      <c r="AR29" s="4">
        <v>2048</v>
      </c>
      <c r="AS29" s="4">
        <v>15454</v>
      </c>
      <c r="AT29" s="4">
        <v>212940</v>
      </c>
      <c r="AU29" s="4">
        <v>212928</v>
      </c>
      <c r="AW29" s="4">
        <v>20</v>
      </c>
      <c r="AX29" s="4">
        <v>2363</v>
      </c>
      <c r="AY29" s="4">
        <v>2868</v>
      </c>
      <c r="AZ29" s="4">
        <v>573672</v>
      </c>
      <c r="BA29" s="4">
        <v>573696</v>
      </c>
      <c r="BB29" s="4">
        <v>100000</v>
      </c>
      <c r="BC29" s="4">
        <v>100032</v>
      </c>
      <c r="BD29" s="4">
        <v>0</v>
      </c>
      <c r="BE29" s="4">
        <v>4174</v>
      </c>
      <c r="BF29" s="4">
        <v>201667</v>
      </c>
      <c r="BG29" s="4">
        <v>201664</v>
      </c>
      <c r="BI29" s="4">
        <v>20</v>
      </c>
      <c r="BJ29" s="4">
        <v>2343</v>
      </c>
      <c r="BK29" s="4">
        <v>2894</v>
      </c>
      <c r="BL29" s="4">
        <v>578761</v>
      </c>
      <c r="BM29" s="4">
        <v>578752</v>
      </c>
      <c r="BN29" s="4">
        <v>100000</v>
      </c>
      <c r="BO29" s="4">
        <v>100032</v>
      </c>
      <c r="BP29" s="4">
        <v>0</v>
      </c>
      <c r="BQ29" s="4">
        <v>4114</v>
      </c>
      <c r="BR29" s="4">
        <v>201607</v>
      </c>
      <c r="BS29" s="4">
        <v>201600</v>
      </c>
      <c r="BU29" s="4">
        <v>20</v>
      </c>
      <c r="BV29" s="4">
        <v>2336</v>
      </c>
      <c r="BW29" s="4">
        <v>2903</v>
      </c>
      <c r="BX29" s="4">
        <v>580656</v>
      </c>
      <c r="BY29" s="4">
        <v>580672</v>
      </c>
      <c r="BZ29" s="4">
        <v>100000</v>
      </c>
      <c r="CA29" s="4">
        <v>100032</v>
      </c>
      <c r="CB29" s="4">
        <v>0</v>
      </c>
      <c r="CC29" s="4">
        <v>4054</v>
      </c>
      <c r="CD29" s="4">
        <v>201547</v>
      </c>
      <c r="CE29" s="4">
        <v>201536</v>
      </c>
      <c r="CG29" s="4">
        <v>20</v>
      </c>
      <c r="CH29" s="4">
        <v>2323</v>
      </c>
      <c r="CI29" s="4">
        <v>2919</v>
      </c>
      <c r="CJ29" s="4">
        <v>583719</v>
      </c>
      <c r="CK29" s="4">
        <v>583744</v>
      </c>
      <c r="CL29" s="4">
        <v>100000</v>
      </c>
      <c r="CM29" s="4">
        <v>100032</v>
      </c>
      <c r="CN29" s="4">
        <v>48</v>
      </c>
      <c r="CO29" s="4">
        <v>4385</v>
      </c>
      <c r="CP29" s="4">
        <v>201878</v>
      </c>
      <c r="CQ29" s="4">
        <v>201856</v>
      </c>
    </row>
    <row r="30" spans="1:95" x14ac:dyDescent="0.25">
      <c r="A30" s="4">
        <v>21</v>
      </c>
      <c r="B30" s="4">
        <v>2410</v>
      </c>
      <c r="C30" s="4">
        <v>2809</v>
      </c>
      <c r="D30" s="4">
        <v>561641</v>
      </c>
      <c r="E30" s="4">
        <v>561664</v>
      </c>
      <c r="F30" s="4">
        <v>100000</v>
      </c>
      <c r="G30" s="4">
        <v>100032</v>
      </c>
      <c r="H30" s="4">
        <v>0</v>
      </c>
      <c r="I30" s="4">
        <v>4188</v>
      </c>
      <c r="J30" s="4">
        <v>201681</v>
      </c>
      <c r="K30" s="4">
        <v>201664</v>
      </c>
      <c r="M30" s="4">
        <v>21</v>
      </c>
      <c r="N30" s="4">
        <v>2401</v>
      </c>
      <c r="O30" s="4">
        <v>2820</v>
      </c>
      <c r="P30" s="4">
        <v>564063</v>
      </c>
      <c r="Q30" s="4">
        <v>564032</v>
      </c>
      <c r="R30" s="4">
        <v>100000</v>
      </c>
      <c r="S30" s="4">
        <v>100032</v>
      </c>
      <c r="T30" s="4">
        <v>109</v>
      </c>
      <c r="U30" s="4">
        <v>4651</v>
      </c>
      <c r="V30" s="4">
        <v>202144</v>
      </c>
      <c r="W30" s="4">
        <v>202176</v>
      </c>
      <c r="Y30" s="4">
        <v>21</v>
      </c>
      <c r="Z30" s="4">
        <v>2408</v>
      </c>
      <c r="AA30" s="4">
        <v>2811</v>
      </c>
      <c r="AB30" s="4">
        <v>562266</v>
      </c>
      <c r="AC30" s="4">
        <v>562240</v>
      </c>
      <c r="AD30" s="4">
        <v>100000</v>
      </c>
      <c r="AE30" s="4">
        <v>100032</v>
      </c>
      <c r="AF30" s="4">
        <v>554</v>
      </c>
      <c r="AG30" s="4">
        <v>6851</v>
      </c>
      <c r="AH30" s="4">
        <v>204342</v>
      </c>
      <c r="AI30" s="4">
        <v>204352</v>
      </c>
      <c r="AK30" s="4">
        <v>21</v>
      </c>
      <c r="AL30" s="4">
        <v>2412</v>
      </c>
      <c r="AM30" s="4">
        <v>2807</v>
      </c>
      <c r="AN30" s="4">
        <v>561328</v>
      </c>
      <c r="AO30" s="4">
        <v>561344</v>
      </c>
      <c r="AP30" s="4">
        <v>100000</v>
      </c>
      <c r="AQ30" s="4">
        <v>100032</v>
      </c>
      <c r="AR30" s="4">
        <v>2048</v>
      </c>
      <c r="AS30" s="4">
        <v>15663</v>
      </c>
      <c r="AT30" s="4">
        <v>213149</v>
      </c>
      <c r="AU30" s="4">
        <v>213120</v>
      </c>
      <c r="AW30" s="4">
        <v>21</v>
      </c>
      <c r="AX30" s="4">
        <v>2365</v>
      </c>
      <c r="AY30" s="4">
        <v>2866</v>
      </c>
      <c r="AZ30" s="4">
        <v>573203</v>
      </c>
      <c r="BA30" s="4">
        <v>573184</v>
      </c>
      <c r="BB30" s="4">
        <v>100000</v>
      </c>
      <c r="BC30" s="4">
        <v>100032</v>
      </c>
      <c r="BD30" s="4">
        <v>0</v>
      </c>
      <c r="BE30" s="4">
        <v>4204</v>
      </c>
      <c r="BF30" s="4">
        <v>201697</v>
      </c>
      <c r="BG30" s="4">
        <v>201728</v>
      </c>
      <c r="BI30" s="4">
        <v>21</v>
      </c>
      <c r="BJ30" s="4">
        <v>2343</v>
      </c>
      <c r="BK30" s="4">
        <v>2894</v>
      </c>
      <c r="BL30" s="4">
        <v>578797</v>
      </c>
      <c r="BM30" s="4">
        <v>578816</v>
      </c>
      <c r="BN30" s="4">
        <v>100000</v>
      </c>
      <c r="BO30" s="4">
        <v>100032</v>
      </c>
      <c r="BP30" s="4">
        <v>0</v>
      </c>
      <c r="BQ30" s="4">
        <v>4007</v>
      </c>
      <c r="BR30" s="4">
        <v>201500</v>
      </c>
      <c r="BS30" s="4">
        <v>201472</v>
      </c>
      <c r="BU30" s="4">
        <v>21</v>
      </c>
      <c r="BV30" s="4">
        <v>2336</v>
      </c>
      <c r="BW30" s="4">
        <v>2903</v>
      </c>
      <c r="BX30" s="4">
        <v>580547</v>
      </c>
      <c r="BY30" s="4">
        <v>580544</v>
      </c>
      <c r="BZ30" s="4">
        <v>100000</v>
      </c>
      <c r="CA30" s="4">
        <v>100032</v>
      </c>
      <c r="CB30" s="4">
        <v>12</v>
      </c>
      <c r="CC30" s="4">
        <v>4245</v>
      </c>
      <c r="CD30" s="4">
        <v>201738</v>
      </c>
      <c r="CE30" s="4">
        <v>201728</v>
      </c>
      <c r="CG30" s="4">
        <v>21</v>
      </c>
      <c r="CH30" s="4">
        <v>2323</v>
      </c>
      <c r="CI30" s="4">
        <v>2920</v>
      </c>
      <c r="CJ30" s="4">
        <v>584031</v>
      </c>
      <c r="CK30" s="4">
        <v>584000</v>
      </c>
      <c r="CL30" s="4">
        <v>100000</v>
      </c>
      <c r="CM30" s="4">
        <v>100032</v>
      </c>
      <c r="CN30" s="4">
        <v>47</v>
      </c>
      <c r="CO30" s="4">
        <v>4377</v>
      </c>
      <c r="CP30" s="4">
        <v>201870</v>
      </c>
      <c r="CQ30" s="4">
        <v>201856</v>
      </c>
    </row>
    <row r="31" spans="1:95" x14ac:dyDescent="0.25">
      <c r="A31" s="4">
        <v>22</v>
      </c>
      <c r="B31" s="4">
        <v>2409</v>
      </c>
      <c r="C31" s="4">
        <v>2810</v>
      </c>
      <c r="D31" s="4">
        <v>561797</v>
      </c>
      <c r="E31" s="4">
        <v>561792</v>
      </c>
      <c r="F31" s="4">
        <v>100000</v>
      </c>
      <c r="G31" s="4">
        <v>100032</v>
      </c>
      <c r="H31" s="4">
        <v>0</v>
      </c>
      <c r="I31" s="4">
        <v>3841</v>
      </c>
      <c r="J31" s="4">
        <v>201334</v>
      </c>
      <c r="K31" s="4">
        <v>201344</v>
      </c>
      <c r="M31" s="4">
        <v>22</v>
      </c>
      <c r="N31" s="4">
        <v>2400</v>
      </c>
      <c r="O31" s="4">
        <v>2821</v>
      </c>
      <c r="P31" s="4">
        <v>564219</v>
      </c>
      <c r="Q31" s="4">
        <v>564224</v>
      </c>
      <c r="R31" s="4">
        <v>100000</v>
      </c>
      <c r="S31" s="4">
        <v>100032</v>
      </c>
      <c r="T31" s="4">
        <v>44</v>
      </c>
      <c r="U31" s="4">
        <v>4368</v>
      </c>
      <c r="V31" s="4">
        <v>201861</v>
      </c>
      <c r="W31" s="4">
        <v>201856</v>
      </c>
      <c r="Y31" s="4">
        <v>22</v>
      </c>
      <c r="Z31" s="4">
        <v>2406</v>
      </c>
      <c r="AA31" s="4">
        <v>2814</v>
      </c>
      <c r="AB31" s="4">
        <v>562734</v>
      </c>
      <c r="AC31" s="4">
        <v>562752</v>
      </c>
      <c r="AD31" s="4">
        <v>100000</v>
      </c>
      <c r="AE31" s="4">
        <v>100032</v>
      </c>
      <c r="AF31" s="4">
        <v>526</v>
      </c>
      <c r="AG31" s="4">
        <v>6703</v>
      </c>
      <c r="AH31" s="4">
        <v>204194</v>
      </c>
      <c r="AI31" s="4">
        <v>204224</v>
      </c>
      <c r="AK31" s="4">
        <v>22</v>
      </c>
      <c r="AL31" s="4">
        <v>2412</v>
      </c>
      <c r="AM31" s="4">
        <v>2806</v>
      </c>
      <c r="AN31" s="4">
        <v>561250</v>
      </c>
      <c r="AO31" s="4">
        <v>561280</v>
      </c>
      <c r="AP31" s="4">
        <v>100000</v>
      </c>
      <c r="AQ31" s="4">
        <v>100032</v>
      </c>
      <c r="AR31" s="4">
        <v>2048</v>
      </c>
      <c r="AS31" s="4">
        <v>15431</v>
      </c>
      <c r="AT31" s="4">
        <v>212917</v>
      </c>
      <c r="AU31" s="4">
        <v>212928</v>
      </c>
      <c r="AW31" s="4">
        <v>22</v>
      </c>
      <c r="AX31" s="4">
        <v>2366</v>
      </c>
      <c r="AY31" s="4">
        <v>2865</v>
      </c>
      <c r="AZ31" s="4">
        <v>573047</v>
      </c>
      <c r="BA31" s="4">
        <v>573056</v>
      </c>
      <c r="BB31" s="4">
        <v>100000</v>
      </c>
      <c r="BC31" s="4">
        <v>100032</v>
      </c>
      <c r="BD31" s="4">
        <v>0</v>
      </c>
      <c r="BE31" s="4">
        <v>4143</v>
      </c>
      <c r="BF31" s="4">
        <v>201636</v>
      </c>
      <c r="BG31" s="4">
        <v>201664</v>
      </c>
      <c r="BI31" s="4">
        <v>22</v>
      </c>
      <c r="BJ31" s="4">
        <v>2343</v>
      </c>
      <c r="BK31" s="4">
        <v>2894</v>
      </c>
      <c r="BL31" s="4">
        <v>578833</v>
      </c>
      <c r="BM31" s="4">
        <v>578816</v>
      </c>
      <c r="BN31" s="4">
        <v>100000</v>
      </c>
      <c r="BO31" s="4">
        <v>100032</v>
      </c>
      <c r="BP31" s="4">
        <v>0</v>
      </c>
      <c r="BQ31" s="4">
        <v>4212</v>
      </c>
      <c r="BR31" s="4">
        <v>201705</v>
      </c>
      <c r="BS31" s="4">
        <v>201728</v>
      </c>
      <c r="BU31" s="4">
        <v>22</v>
      </c>
      <c r="BV31" s="4">
        <v>2337</v>
      </c>
      <c r="BW31" s="4">
        <v>2902</v>
      </c>
      <c r="BX31" s="4">
        <v>580500</v>
      </c>
      <c r="BY31" s="4">
        <v>580480</v>
      </c>
      <c r="BZ31" s="4">
        <v>100000</v>
      </c>
      <c r="CA31" s="4">
        <v>100032</v>
      </c>
      <c r="CB31" s="4">
        <v>0</v>
      </c>
      <c r="CC31" s="4">
        <v>4199</v>
      </c>
      <c r="CD31" s="4">
        <v>201692</v>
      </c>
      <c r="CE31" s="4">
        <v>201664</v>
      </c>
      <c r="CG31" s="4">
        <v>22</v>
      </c>
      <c r="CH31" s="4">
        <v>2323</v>
      </c>
      <c r="CI31" s="4">
        <v>2920</v>
      </c>
      <c r="CJ31" s="4">
        <v>584047</v>
      </c>
      <c r="CK31" s="4">
        <v>584064</v>
      </c>
      <c r="CL31" s="4">
        <v>100000</v>
      </c>
      <c r="CM31" s="4">
        <v>100032</v>
      </c>
      <c r="CN31" s="4">
        <v>42</v>
      </c>
      <c r="CO31" s="4">
        <v>4357</v>
      </c>
      <c r="CP31" s="4">
        <v>201850</v>
      </c>
      <c r="CQ31" s="4">
        <v>201856</v>
      </c>
    </row>
    <row r="32" spans="1:95" x14ac:dyDescent="0.25">
      <c r="A32" s="4">
        <v>23</v>
      </c>
      <c r="B32" s="4">
        <v>2410</v>
      </c>
      <c r="C32" s="4">
        <v>2809</v>
      </c>
      <c r="D32" s="4">
        <v>561875</v>
      </c>
      <c r="E32" s="4">
        <v>561856</v>
      </c>
      <c r="F32" s="4">
        <v>100000</v>
      </c>
      <c r="G32" s="4">
        <v>100032</v>
      </c>
      <c r="H32" s="4">
        <v>0</v>
      </c>
      <c r="I32" s="4">
        <v>3463</v>
      </c>
      <c r="J32" s="4">
        <v>200956</v>
      </c>
      <c r="K32" s="4">
        <v>200960</v>
      </c>
      <c r="M32" s="4">
        <v>23</v>
      </c>
      <c r="N32" s="4">
        <v>2398</v>
      </c>
      <c r="O32" s="4">
        <v>2823</v>
      </c>
      <c r="P32" s="4">
        <v>564453</v>
      </c>
      <c r="Q32" s="4">
        <v>564480</v>
      </c>
      <c r="R32" s="4">
        <v>100000</v>
      </c>
      <c r="S32" s="4">
        <v>100032</v>
      </c>
      <c r="T32" s="4">
        <v>59</v>
      </c>
      <c r="U32" s="4">
        <v>4429</v>
      </c>
      <c r="V32" s="4">
        <v>201922</v>
      </c>
      <c r="W32" s="4">
        <v>201920</v>
      </c>
      <c r="Y32" s="4">
        <v>23</v>
      </c>
      <c r="Z32" s="4">
        <v>2405</v>
      </c>
      <c r="AA32" s="4">
        <v>2815</v>
      </c>
      <c r="AB32" s="4">
        <v>562969</v>
      </c>
      <c r="AC32" s="4">
        <v>562944</v>
      </c>
      <c r="AD32" s="4">
        <v>100000</v>
      </c>
      <c r="AE32" s="4">
        <v>100032</v>
      </c>
      <c r="AF32" s="4">
        <v>535</v>
      </c>
      <c r="AG32" s="4">
        <v>6750</v>
      </c>
      <c r="AH32" s="4">
        <v>204241</v>
      </c>
      <c r="AI32" s="4">
        <v>204224</v>
      </c>
      <c r="AK32" s="4">
        <v>23</v>
      </c>
      <c r="AL32" s="4">
        <v>2412</v>
      </c>
      <c r="AM32" s="4">
        <v>2807</v>
      </c>
      <c r="AN32" s="4">
        <v>561328</v>
      </c>
      <c r="AO32" s="4">
        <v>561344</v>
      </c>
      <c r="AP32" s="4">
        <v>100000</v>
      </c>
      <c r="AQ32" s="4">
        <v>100032</v>
      </c>
      <c r="AR32" s="4">
        <v>2035</v>
      </c>
      <c r="AS32" s="4">
        <v>15332</v>
      </c>
      <c r="AT32" s="4">
        <v>212818</v>
      </c>
      <c r="AU32" s="4">
        <v>212800</v>
      </c>
      <c r="AW32" s="4">
        <v>23</v>
      </c>
      <c r="AX32" s="4">
        <v>2365</v>
      </c>
      <c r="AY32" s="4">
        <v>2866</v>
      </c>
      <c r="AZ32" s="4">
        <v>573281</v>
      </c>
      <c r="BA32" s="4">
        <v>573312</v>
      </c>
      <c r="BB32" s="4">
        <v>100000</v>
      </c>
      <c r="BC32" s="4">
        <v>100032</v>
      </c>
      <c r="BD32" s="4">
        <v>0</v>
      </c>
      <c r="BE32" s="4">
        <v>4025</v>
      </c>
      <c r="BF32" s="4">
        <v>201518</v>
      </c>
      <c r="BG32" s="4">
        <v>201536</v>
      </c>
      <c r="BI32" s="4">
        <v>23</v>
      </c>
      <c r="BJ32" s="4">
        <v>2343</v>
      </c>
      <c r="BK32" s="4">
        <v>2894</v>
      </c>
      <c r="BL32" s="4">
        <v>578875</v>
      </c>
      <c r="BM32" s="4">
        <v>578880</v>
      </c>
      <c r="BN32" s="4">
        <v>100000</v>
      </c>
      <c r="BO32" s="4">
        <v>100032</v>
      </c>
      <c r="BP32" s="4">
        <v>23</v>
      </c>
      <c r="BQ32" s="4">
        <v>4282</v>
      </c>
      <c r="BR32" s="4">
        <v>201775</v>
      </c>
      <c r="BS32" s="4">
        <v>201792</v>
      </c>
      <c r="BU32" s="4">
        <v>23</v>
      </c>
      <c r="BV32" s="4">
        <v>2338</v>
      </c>
      <c r="BW32" s="4">
        <v>2901</v>
      </c>
      <c r="BX32" s="4">
        <v>580281</v>
      </c>
      <c r="BY32" s="4">
        <v>580288</v>
      </c>
      <c r="BZ32" s="4">
        <v>100000</v>
      </c>
      <c r="CA32" s="4">
        <v>100032</v>
      </c>
      <c r="CB32" s="4">
        <v>17</v>
      </c>
      <c r="CC32" s="4">
        <v>4259</v>
      </c>
      <c r="CD32" s="4">
        <v>201752</v>
      </c>
      <c r="CE32" s="4">
        <v>201728</v>
      </c>
      <c r="CG32" s="4">
        <v>23</v>
      </c>
      <c r="CH32" s="4">
        <v>2323</v>
      </c>
      <c r="CI32" s="4">
        <v>2919</v>
      </c>
      <c r="CJ32" s="4">
        <v>583937</v>
      </c>
      <c r="CK32" s="4">
        <v>583936</v>
      </c>
      <c r="CL32" s="4">
        <v>100000</v>
      </c>
      <c r="CM32" s="4">
        <v>100032</v>
      </c>
      <c r="CN32" s="4">
        <v>49</v>
      </c>
      <c r="CO32" s="4">
        <v>4387</v>
      </c>
      <c r="CP32" s="4">
        <v>201880</v>
      </c>
      <c r="CQ32" s="4">
        <v>201856</v>
      </c>
    </row>
    <row r="33" spans="1:95" x14ac:dyDescent="0.25">
      <c r="A33" s="4">
        <v>24</v>
      </c>
      <c r="B33" s="4">
        <v>2411</v>
      </c>
      <c r="C33" s="4">
        <v>2808</v>
      </c>
      <c r="D33" s="4">
        <v>561719</v>
      </c>
      <c r="E33" s="4">
        <v>561728</v>
      </c>
      <c r="F33" s="4">
        <v>100000</v>
      </c>
      <c r="G33" s="4">
        <v>100032</v>
      </c>
      <c r="H33" s="4">
        <v>0</v>
      </c>
      <c r="I33" s="4">
        <v>3026</v>
      </c>
      <c r="J33" s="4">
        <v>200520</v>
      </c>
      <c r="K33" s="4">
        <v>200512</v>
      </c>
      <c r="M33" s="4">
        <v>24</v>
      </c>
      <c r="N33" s="4">
        <v>2398</v>
      </c>
      <c r="O33" s="4">
        <v>2823</v>
      </c>
      <c r="P33" s="4">
        <v>564609</v>
      </c>
      <c r="Q33" s="4">
        <v>564608</v>
      </c>
      <c r="R33" s="4">
        <v>100000</v>
      </c>
      <c r="S33" s="4">
        <v>100032</v>
      </c>
      <c r="T33" s="4">
        <v>33</v>
      </c>
      <c r="U33" s="4">
        <v>4323</v>
      </c>
      <c r="V33" s="4">
        <v>201816</v>
      </c>
      <c r="W33" s="4">
        <v>201792</v>
      </c>
      <c r="Y33" s="4">
        <v>24</v>
      </c>
      <c r="Z33" s="4">
        <v>2407</v>
      </c>
      <c r="AA33" s="4">
        <v>2813</v>
      </c>
      <c r="AB33" s="4">
        <v>562734</v>
      </c>
      <c r="AC33" s="4">
        <v>562752</v>
      </c>
      <c r="AD33" s="4">
        <v>100000</v>
      </c>
      <c r="AE33" s="4">
        <v>100032</v>
      </c>
      <c r="AF33" s="4">
        <v>454</v>
      </c>
      <c r="AG33" s="4">
        <v>6327</v>
      </c>
      <c r="AH33" s="4">
        <v>203819</v>
      </c>
      <c r="AI33" s="4">
        <v>203840</v>
      </c>
      <c r="AK33" s="4">
        <v>24</v>
      </c>
      <c r="AL33" s="4">
        <v>2412</v>
      </c>
      <c r="AM33" s="4">
        <v>2807</v>
      </c>
      <c r="AN33" s="4">
        <v>561406</v>
      </c>
      <c r="AO33" s="4">
        <v>561408</v>
      </c>
      <c r="AP33" s="4">
        <v>100000</v>
      </c>
      <c r="AQ33" s="4">
        <v>100032</v>
      </c>
      <c r="AR33" s="4">
        <v>2048</v>
      </c>
      <c r="AS33" s="4">
        <v>15393</v>
      </c>
      <c r="AT33" s="4">
        <v>212879</v>
      </c>
      <c r="AU33" s="4">
        <v>212864</v>
      </c>
      <c r="AW33" s="4">
        <v>24</v>
      </c>
      <c r="AX33" s="4">
        <v>2365</v>
      </c>
      <c r="AY33" s="4">
        <v>2866</v>
      </c>
      <c r="AZ33" s="4">
        <v>573203</v>
      </c>
      <c r="BA33" s="4">
        <v>573184</v>
      </c>
      <c r="BB33" s="4">
        <v>100000</v>
      </c>
      <c r="BC33" s="4">
        <v>100032</v>
      </c>
      <c r="BD33" s="4">
        <v>22</v>
      </c>
      <c r="BE33" s="4">
        <v>4281</v>
      </c>
      <c r="BF33" s="4">
        <v>201774</v>
      </c>
      <c r="BG33" s="4">
        <v>201792</v>
      </c>
      <c r="BI33" s="4">
        <v>24</v>
      </c>
      <c r="BJ33" s="4">
        <v>2342</v>
      </c>
      <c r="BK33" s="4">
        <v>2895</v>
      </c>
      <c r="BL33" s="4">
        <v>578906</v>
      </c>
      <c r="BM33" s="4">
        <v>578880</v>
      </c>
      <c r="BN33" s="4">
        <v>100000</v>
      </c>
      <c r="BO33" s="4">
        <v>100032</v>
      </c>
      <c r="BP33" s="4">
        <v>44</v>
      </c>
      <c r="BQ33" s="4">
        <v>4367</v>
      </c>
      <c r="BR33" s="4">
        <v>201860</v>
      </c>
      <c r="BS33" s="4">
        <v>201856</v>
      </c>
      <c r="BU33" s="4">
        <v>24</v>
      </c>
      <c r="BV33" s="4">
        <v>2338</v>
      </c>
      <c r="BW33" s="4">
        <v>2900</v>
      </c>
      <c r="BX33" s="4">
        <v>580078</v>
      </c>
      <c r="BY33" s="4">
        <v>580096</v>
      </c>
      <c r="BZ33" s="4">
        <v>100000</v>
      </c>
      <c r="CA33" s="4">
        <v>100032</v>
      </c>
      <c r="CB33" s="4">
        <v>0</v>
      </c>
      <c r="CC33" s="4">
        <v>4063</v>
      </c>
      <c r="CD33" s="4">
        <v>201556</v>
      </c>
      <c r="CE33" s="4">
        <v>201536</v>
      </c>
      <c r="CG33" s="4">
        <v>24</v>
      </c>
      <c r="CH33" s="4">
        <v>2324</v>
      </c>
      <c r="CI33" s="4">
        <v>2918</v>
      </c>
      <c r="CJ33" s="4">
        <v>583781</v>
      </c>
      <c r="CK33" s="4">
        <v>583808</v>
      </c>
      <c r="CL33" s="4">
        <v>100000</v>
      </c>
      <c r="CM33" s="4">
        <v>100032</v>
      </c>
      <c r="CN33" s="4">
        <v>66</v>
      </c>
      <c r="CO33" s="4">
        <v>4461</v>
      </c>
      <c r="CP33" s="4">
        <v>201954</v>
      </c>
      <c r="CQ33" s="4">
        <v>201984</v>
      </c>
    </row>
    <row r="34" spans="1:95" x14ac:dyDescent="0.25">
      <c r="A34" s="4">
        <v>25</v>
      </c>
      <c r="B34" s="4">
        <v>2412</v>
      </c>
      <c r="C34" s="4">
        <v>2807</v>
      </c>
      <c r="D34" s="4">
        <v>561328</v>
      </c>
      <c r="E34" s="4">
        <v>561344</v>
      </c>
      <c r="F34" s="4">
        <v>100000</v>
      </c>
      <c r="G34" s="4">
        <v>100032</v>
      </c>
      <c r="H34" s="4">
        <v>0</v>
      </c>
      <c r="I34" s="4">
        <v>4209</v>
      </c>
      <c r="J34" s="4">
        <v>201702</v>
      </c>
      <c r="K34" s="4">
        <v>201728</v>
      </c>
      <c r="M34" s="4">
        <v>25</v>
      </c>
      <c r="N34" s="4">
        <v>2400</v>
      </c>
      <c r="O34" s="4">
        <v>2821</v>
      </c>
      <c r="P34" s="4">
        <v>564297</v>
      </c>
      <c r="Q34" s="4">
        <v>564288</v>
      </c>
      <c r="R34" s="4">
        <v>100000</v>
      </c>
      <c r="S34" s="4">
        <v>100032</v>
      </c>
      <c r="T34" s="4">
        <v>41</v>
      </c>
      <c r="U34" s="4">
        <v>4356</v>
      </c>
      <c r="V34" s="4">
        <v>201849</v>
      </c>
      <c r="W34" s="4">
        <v>201856</v>
      </c>
      <c r="Y34" s="4">
        <v>25</v>
      </c>
      <c r="Z34" s="4">
        <v>2406</v>
      </c>
      <c r="AA34" s="4">
        <v>2814</v>
      </c>
      <c r="AB34" s="4">
        <v>562734</v>
      </c>
      <c r="AC34" s="4">
        <v>562752</v>
      </c>
      <c r="AD34" s="4">
        <v>100000</v>
      </c>
      <c r="AE34" s="4">
        <v>100032</v>
      </c>
      <c r="AF34" s="4">
        <v>440</v>
      </c>
      <c r="AG34" s="4">
        <v>6254</v>
      </c>
      <c r="AH34" s="4">
        <v>203746</v>
      </c>
      <c r="AI34" s="4">
        <v>203776</v>
      </c>
      <c r="AK34" s="4">
        <v>25</v>
      </c>
      <c r="AL34" s="4">
        <v>2412</v>
      </c>
      <c r="AM34" s="4">
        <v>2806</v>
      </c>
      <c r="AN34" s="4">
        <v>561250</v>
      </c>
      <c r="AO34" s="4">
        <v>561280</v>
      </c>
      <c r="AP34" s="4">
        <v>100000</v>
      </c>
      <c r="AQ34" s="4">
        <v>100032</v>
      </c>
      <c r="AR34" s="4">
        <v>2048</v>
      </c>
      <c r="AS34" s="4">
        <v>15536</v>
      </c>
      <c r="AT34" s="4">
        <v>213022</v>
      </c>
      <c r="AU34" s="4">
        <v>212992</v>
      </c>
      <c r="AW34" s="4">
        <v>25</v>
      </c>
      <c r="AX34" s="4">
        <v>2363</v>
      </c>
      <c r="AY34" s="4">
        <v>2868</v>
      </c>
      <c r="AZ34" s="4">
        <v>573594</v>
      </c>
      <c r="BA34" s="4">
        <v>573568</v>
      </c>
      <c r="BB34" s="4">
        <v>100000</v>
      </c>
      <c r="BC34" s="4">
        <v>100032</v>
      </c>
      <c r="BD34" s="4">
        <v>30</v>
      </c>
      <c r="BE34" s="4">
        <v>4312</v>
      </c>
      <c r="BF34" s="4">
        <v>201805</v>
      </c>
      <c r="BG34" s="4">
        <v>201792</v>
      </c>
      <c r="BI34" s="4">
        <v>25</v>
      </c>
      <c r="BJ34" s="4">
        <v>2342</v>
      </c>
      <c r="BK34" s="4">
        <v>2895</v>
      </c>
      <c r="BL34" s="4">
        <v>578922</v>
      </c>
      <c r="BM34" s="4">
        <v>578944</v>
      </c>
      <c r="BN34" s="4">
        <v>100000</v>
      </c>
      <c r="BO34" s="4">
        <v>100032</v>
      </c>
      <c r="BP34" s="4">
        <v>63</v>
      </c>
      <c r="BQ34" s="4">
        <v>4445</v>
      </c>
      <c r="BR34" s="4">
        <v>201938</v>
      </c>
      <c r="BS34" s="4">
        <v>201920</v>
      </c>
      <c r="BU34" s="4">
        <v>25</v>
      </c>
      <c r="BV34" s="4">
        <v>2338</v>
      </c>
      <c r="BW34" s="4">
        <v>2900</v>
      </c>
      <c r="BX34" s="4">
        <v>579984</v>
      </c>
      <c r="BY34" s="4">
        <v>579968</v>
      </c>
      <c r="BZ34" s="4">
        <v>100000</v>
      </c>
      <c r="CA34" s="4">
        <v>100032</v>
      </c>
      <c r="CB34" s="4">
        <v>0</v>
      </c>
      <c r="CC34" s="4">
        <v>3994</v>
      </c>
      <c r="CD34" s="4">
        <v>201487</v>
      </c>
      <c r="CE34" s="4">
        <v>201472</v>
      </c>
      <c r="CG34" s="4">
        <v>25</v>
      </c>
      <c r="CH34" s="4">
        <v>2324</v>
      </c>
      <c r="CI34" s="4">
        <v>2918</v>
      </c>
      <c r="CJ34" s="4">
        <v>583625</v>
      </c>
      <c r="CK34" s="4">
        <v>583616</v>
      </c>
      <c r="CL34" s="4">
        <v>100000</v>
      </c>
      <c r="CM34" s="4">
        <v>100032</v>
      </c>
      <c r="CN34" s="4">
        <v>69</v>
      </c>
      <c r="CO34" s="4">
        <v>4473</v>
      </c>
      <c r="CP34" s="4">
        <v>201966</v>
      </c>
      <c r="CQ34" s="4">
        <v>201984</v>
      </c>
    </row>
    <row r="35" spans="1:95" x14ac:dyDescent="0.25">
      <c r="A35" s="4">
        <v>26</v>
      </c>
      <c r="B35" s="4">
        <v>2415</v>
      </c>
      <c r="C35" s="4">
        <v>2803</v>
      </c>
      <c r="D35" s="4">
        <v>560938</v>
      </c>
      <c r="E35" s="4">
        <v>560960</v>
      </c>
      <c r="F35" s="4">
        <v>100000</v>
      </c>
      <c r="G35" s="4">
        <v>100032</v>
      </c>
      <c r="H35" s="4">
        <v>97</v>
      </c>
      <c r="I35" s="4">
        <v>4594</v>
      </c>
      <c r="J35" s="4">
        <v>202087</v>
      </c>
      <c r="K35" s="4">
        <v>202112</v>
      </c>
      <c r="M35" s="4">
        <v>26</v>
      </c>
      <c r="N35" s="4">
        <v>2400</v>
      </c>
      <c r="O35" s="4">
        <v>2821</v>
      </c>
      <c r="P35" s="4">
        <v>564141</v>
      </c>
      <c r="Q35" s="4">
        <v>564160</v>
      </c>
      <c r="R35" s="4">
        <v>100000</v>
      </c>
      <c r="S35" s="4">
        <v>100032</v>
      </c>
      <c r="T35" s="4">
        <v>35</v>
      </c>
      <c r="U35" s="4">
        <v>4328</v>
      </c>
      <c r="V35" s="4">
        <v>201821</v>
      </c>
      <c r="W35" s="4">
        <v>201792</v>
      </c>
      <c r="Y35" s="4">
        <v>26</v>
      </c>
      <c r="Z35" s="4">
        <v>2407</v>
      </c>
      <c r="AA35" s="4">
        <v>2813</v>
      </c>
      <c r="AB35" s="4">
        <v>562578</v>
      </c>
      <c r="AC35" s="4">
        <v>562560</v>
      </c>
      <c r="AD35" s="4">
        <v>100000</v>
      </c>
      <c r="AE35" s="4">
        <v>100032</v>
      </c>
      <c r="AF35" s="4">
        <v>491</v>
      </c>
      <c r="AG35" s="4">
        <v>6519</v>
      </c>
      <c r="AH35" s="4">
        <v>204011</v>
      </c>
      <c r="AI35" s="4">
        <v>204032</v>
      </c>
      <c r="AK35" s="4">
        <v>26</v>
      </c>
      <c r="AL35" s="4">
        <v>2413</v>
      </c>
      <c r="AM35" s="4">
        <v>2805</v>
      </c>
      <c r="AN35" s="4">
        <v>561094</v>
      </c>
      <c r="AO35" s="4">
        <v>561088</v>
      </c>
      <c r="AP35" s="4">
        <v>100000</v>
      </c>
      <c r="AQ35" s="4">
        <v>100032</v>
      </c>
      <c r="AR35" s="4">
        <v>2048</v>
      </c>
      <c r="AS35" s="4">
        <v>15409</v>
      </c>
      <c r="AT35" s="4">
        <v>212895</v>
      </c>
      <c r="AU35" s="4">
        <v>212864</v>
      </c>
      <c r="AW35" s="4">
        <v>26</v>
      </c>
      <c r="AX35" s="4">
        <v>2363</v>
      </c>
      <c r="AY35" s="4">
        <v>2869</v>
      </c>
      <c r="AZ35" s="4">
        <v>573750</v>
      </c>
      <c r="BA35" s="4">
        <v>573760</v>
      </c>
      <c r="BB35" s="4">
        <v>100000</v>
      </c>
      <c r="BC35" s="4">
        <v>100032</v>
      </c>
      <c r="BD35" s="4">
        <v>0</v>
      </c>
      <c r="BE35" s="4">
        <v>4134</v>
      </c>
      <c r="BF35" s="4">
        <v>201627</v>
      </c>
      <c r="BG35" s="4">
        <v>201600</v>
      </c>
      <c r="BI35" s="4">
        <v>26</v>
      </c>
      <c r="BJ35" s="4">
        <v>2342</v>
      </c>
      <c r="BK35" s="4">
        <v>2895</v>
      </c>
      <c r="BL35" s="4">
        <v>578927</v>
      </c>
      <c r="BM35" s="4">
        <v>578944</v>
      </c>
      <c r="BN35" s="4">
        <v>100000</v>
      </c>
      <c r="BO35" s="4">
        <v>100032</v>
      </c>
      <c r="BP35" s="4">
        <v>0</v>
      </c>
      <c r="BQ35" s="4">
        <v>4155</v>
      </c>
      <c r="BR35" s="4">
        <v>201648</v>
      </c>
      <c r="BS35" s="4">
        <v>201664</v>
      </c>
      <c r="BU35" s="4">
        <v>26</v>
      </c>
      <c r="BV35" s="4">
        <v>2339</v>
      </c>
      <c r="BW35" s="4">
        <v>2899</v>
      </c>
      <c r="BX35" s="4">
        <v>579891</v>
      </c>
      <c r="BY35" s="4">
        <v>579904</v>
      </c>
      <c r="BZ35" s="4">
        <v>100000</v>
      </c>
      <c r="CA35" s="4">
        <v>100032</v>
      </c>
      <c r="CB35" s="4">
        <v>0</v>
      </c>
      <c r="CC35" s="4">
        <v>4113</v>
      </c>
      <c r="CD35" s="4">
        <v>201606</v>
      </c>
      <c r="CE35" s="4">
        <v>201600</v>
      </c>
      <c r="CG35" s="4">
        <v>26</v>
      </c>
      <c r="CH35" s="4">
        <v>2325</v>
      </c>
      <c r="CI35" s="4">
        <v>2917</v>
      </c>
      <c r="CJ35" s="4">
        <v>583500</v>
      </c>
      <c r="CK35" s="4">
        <v>583488</v>
      </c>
      <c r="CL35" s="4">
        <v>100000</v>
      </c>
      <c r="CM35" s="4">
        <v>100032</v>
      </c>
      <c r="CN35" s="4">
        <v>62</v>
      </c>
      <c r="CO35" s="4">
        <v>4444</v>
      </c>
      <c r="CP35" s="4">
        <v>201937</v>
      </c>
      <c r="CQ35" s="4">
        <v>201920</v>
      </c>
    </row>
    <row r="36" spans="1:95" x14ac:dyDescent="0.25">
      <c r="A36" s="4">
        <v>27</v>
      </c>
      <c r="B36" s="4">
        <v>2414</v>
      </c>
      <c r="C36" s="4">
        <v>2804</v>
      </c>
      <c r="D36" s="4">
        <v>560859</v>
      </c>
      <c r="E36" s="4">
        <v>560832</v>
      </c>
      <c r="F36" s="4">
        <v>100000</v>
      </c>
      <c r="G36" s="4">
        <v>100032</v>
      </c>
      <c r="H36" s="4">
        <v>48</v>
      </c>
      <c r="I36" s="4">
        <v>4384</v>
      </c>
      <c r="J36" s="4">
        <v>201877</v>
      </c>
      <c r="K36" s="4">
        <v>201856</v>
      </c>
      <c r="M36" s="4">
        <v>27</v>
      </c>
      <c r="N36" s="4">
        <v>2402</v>
      </c>
      <c r="O36" s="4">
        <v>2819</v>
      </c>
      <c r="P36" s="4">
        <v>563750</v>
      </c>
      <c r="Q36" s="4">
        <v>563776</v>
      </c>
      <c r="R36" s="4">
        <v>100000</v>
      </c>
      <c r="S36" s="4">
        <v>100032</v>
      </c>
      <c r="T36" s="4">
        <v>1</v>
      </c>
      <c r="U36" s="4">
        <v>4216</v>
      </c>
      <c r="V36" s="4">
        <v>201709</v>
      </c>
      <c r="W36" s="4">
        <v>201728</v>
      </c>
      <c r="Y36" s="4">
        <v>27</v>
      </c>
      <c r="Z36" s="4">
        <v>2407</v>
      </c>
      <c r="AA36" s="4">
        <v>2812</v>
      </c>
      <c r="AB36" s="4">
        <v>562500</v>
      </c>
      <c r="AC36" s="4">
        <v>562496</v>
      </c>
      <c r="AD36" s="4">
        <v>100000</v>
      </c>
      <c r="AE36" s="4">
        <v>100032</v>
      </c>
      <c r="AF36" s="4">
        <v>504</v>
      </c>
      <c r="AG36" s="4">
        <v>6588</v>
      </c>
      <c r="AH36" s="4">
        <v>204079</v>
      </c>
      <c r="AI36" s="4">
        <v>204096</v>
      </c>
      <c r="AK36" s="4">
        <v>27</v>
      </c>
      <c r="AL36" s="4">
        <v>2415</v>
      </c>
      <c r="AM36" s="4">
        <v>2803</v>
      </c>
      <c r="AN36" s="4">
        <v>560625</v>
      </c>
      <c r="AO36" s="4">
        <v>560640</v>
      </c>
      <c r="AP36" s="4">
        <v>100000</v>
      </c>
      <c r="AQ36" s="4">
        <v>100032</v>
      </c>
      <c r="AR36" s="4">
        <v>2048</v>
      </c>
      <c r="AS36" s="4">
        <v>15532</v>
      </c>
      <c r="AT36" s="4">
        <v>213018</v>
      </c>
      <c r="AU36" s="4">
        <v>212992</v>
      </c>
      <c r="AW36" s="4">
        <v>27</v>
      </c>
      <c r="AX36" s="4">
        <v>2363</v>
      </c>
      <c r="AY36" s="4">
        <v>2868</v>
      </c>
      <c r="AZ36" s="4">
        <v>573594</v>
      </c>
      <c r="BA36" s="4">
        <v>573568</v>
      </c>
      <c r="BB36" s="4">
        <v>100000</v>
      </c>
      <c r="BC36" s="4">
        <v>100032</v>
      </c>
      <c r="BD36" s="4">
        <v>35</v>
      </c>
      <c r="BE36" s="4">
        <v>4328</v>
      </c>
      <c r="BF36" s="4">
        <v>201821</v>
      </c>
      <c r="BG36" s="4">
        <v>201792</v>
      </c>
      <c r="BI36" s="4">
        <v>27</v>
      </c>
      <c r="BJ36" s="4">
        <v>2343</v>
      </c>
      <c r="BK36" s="4">
        <v>2894</v>
      </c>
      <c r="BL36" s="4">
        <v>578885</v>
      </c>
      <c r="BM36" s="4">
        <v>578880</v>
      </c>
      <c r="BN36" s="4">
        <v>100000</v>
      </c>
      <c r="BO36" s="4">
        <v>100032</v>
      </c>
      <c r="BP36" s="4">
        <v>17</v>
      </c>
      <c r="BQ36" s="4">
        <v>4259</v>
      </c>
      <c r="BR36" s="4">
        <v>201752</v>
      </c>
      <c r="BS36" s="4">
        <v>201728</v>
      </c>
      <c r="BU36" s="4">
        <v>27</v>
      </c>
      <c r="BV36" s="4">
        <v>2340</v>
      </c>
      <c r="BW36" s="4">
        <v>2898</v>
      </c>
      <c r="BX36" s="4">
        <v>579672</v>
      </c>
      <c r="BY36" s="4">
        <v>579648</v>
      </c>
      <c r="BZ36" s="4">
        <v>100000</v>
      </c>
      <c r="CA36" s="4">
        <v>100032</v>
      </c>
      <c r="CB36" s="4">
        <v>7</v>
      </c>
      <c r="CC36" s="4">
        <v>4228</v>
      </c>
      <c r="CD36" s="4">
        <v>201721</v>
      </c>
      <c r="CE36" s="4">
        <v>201728</v>
      </c>
      <c r="CG36" s="4">
        <v>27</v>
      </c>
      <c r="CH36" s="4">
        <v>2325</v>
      </c>
      <c r="CI36" s="4">
        <v>2917</v>
      </c>
      <c r="CJ36" s="4">
        <v>583453</v>
      </c>
      <c r="CK36" s="4">
        <v>583424</v>
      </c>
      <c r="CL36" s="4">
        <v>100000</v>
      </c>
      <c r="CM36" s="4">
        <v>100032</v>
      </c>
      <c r="CN36" s="4">
        <v>53</v>
      </c>
      <c r="CO36" s="4">
        <v>4404</v>
      </c>
      <c r="CP36" s="4">
        <v>201897</v>
      </c>
      <c r="CQ36" s="4">
        <v>201920</v>
      </c>
    </row>
    <row r="37" spans="1:95" x14ac:dyDescent="0.25">
      <c r="A37" s="4">
        <v>28</v>
      </c>
      <c r="B37" s="4">
        <v>2415</v>
      </c>
      <c r="C37" s="4">
        <v>2803</v>
      </c>
      <c r="D37" s="4">
        <v>560703</v>
      </c>
      <c r="E37" s="4">
        <v>560704</v>
      </c>
      <c r="F37" s="4">
        <v>100000</v>
      </c>
      <c r="G37" s="4">
        <v>100032</v>
      </c>
      <c r="H37" s="4">
        <v>65</v>
      </c>
      <c r="I37" s="4">
        <v>4456</v>
      </c>
      <c r="J37" s="4">
        <v>201949</v>
      </c>
      <c r="K37" s="4">
        <v>201920</v>
      </c>
      <c r="M37" s="4">
        <v>28</v>
      </c>
      <c r="N37" s="4">
        <v>2404</v>
      </c>
      <c r="O37" s="4">
        <v>2816</v>
      </c>
      <c r="P37" s="4">
        <v>563281</v>
      </c>
      <c r="Q37" s="4">
        <v>563264</v>
      </c>
      <c r="R37" s="4">
        <v>100000</v>
      </c>
      <c r="S37" s="4">
        <v>100032</v>
      </c>
      <c r="T37" s="4">
        <v>0</v>
      </c>
      <c r="U37" s="4">
        <v>4195</v>
      </c>
      <c r="V37" s="4">
        <v>201688</v>
      </c>
      <c r="W37" s="4">
        <v>201664</v>
      </c>
      <c r="Y37" s="4">
        <v>28</v>
      </c>
      <c r="Z37" s="4">
        <v>2405</v>
      </c>
      <c r="AA37" s="4">
        <v>2815</v>
      </c>
      <c r="AB37" s="4">
        <v>562969</v>
      </c>
      <c r="AC37" s="4">
        <v>562944</v>
      </c>
      <c r="AD37" s="4">
        <v>100000</v>
      </c>
      <c r="AE37" s="4">
        <v>100032</v>
      </c>
      <c r="AF37" s="4">
        <v>471</v>
      </c>
      <c r="AG37" s="4">
        <v>6415</v>
      </c>
      <c r="AH37" s="4">
        <v>203907</v>
      </c>
      <c r="AI37" s="4">
        <v>203904</v>
      </c>
      <c r="AK37" s="4">
        <v>28</v>
      </c>
      <c r="AL37" s="4">
        <v>2417</v>
      </c>
      <c r="AM37" s="4">
        <v>2800</v>
      </c>
      <c r="AN37" s="4">
        <v>560156</v>
      </c>
      <c r="AO37" s="4">
        <v>560128</v>
      </c>
      <c r="AP37" s="4">
        <v>100000</v>
      </c>
      <c r="AQ37" s="4">
        <v>100032</v>
      </c>
      <c r="AR37" s="4">
        <v>2048</v>
      </c>
      <c r="AS37" s="4">
        <v>15633</v>
      </c>
      <c r="AT37" s="4">
        <v>213119</v>
      </c>
      <c r="AU37" s="4">
        <v>213120</v>
      </c>
      <c r="AW37" s="4">
        <v>28</v>
      </c>
      <c r="AX37" s="4">
        <v>2363</v>
      </c>
      <c r="AY37" s="4">
        <v>2868</v>
      </c>
      <c r="AZ37" s="4">
        <v>573672</v>
      </c>
      <c r="BA37" s="4">
        <v>573696</v>
      </c>
      <c r="BB37" s="4">
        <v>100000</v>
      </c>
      <c r="BC37" s="4">
        <v>100032</v>
      </c>
      <c r="BD37" s="4">
        <v>41</v>
      </c>
      <c r="BE37" s="4">
        <v>4352</v>
      </c>
      <c r="BF37" s="4">
        <v>201845</v>
      </c>
      <c r="BG37" s="4">
        <v>201856</v>
      </c>
      <c r="BI37" s="4">
        <v>28</v>
      </c>
      <c r="BJ37" s="4">
        <v>2343</v>
      </c>
      <c r="BK37" s="4">
        <v>2894</v>
      </c>
      <c r="BL37" s="4">
        <v>578833</v>
      </c>
      <c r="BM37" s="4">
        <v>578816</v>
      </c>
      <c r="BN37" s="4">
        <v>100000</v>
      </c>
      <c r="BO37" s="4">
        <v>100032</v>
      </c>
      <c r="BP37" s="4">
        <v>19</v>
      </c>
      <c r="BQ37" s="4">
        <v>4267</v>
      </c>
      <c r="BR37" s="4">
        <v>201760</v>
      </c>
      <c r="BS37" s="4">
        <v>201792</v>
      </c>
      <c r="BU37" s="4">
        <v>28</v>
      </c>
      <c r="BV37" s="4">
        <v>2340</v>
      </c>
      <c r="BW37" s="4">
        <v>2898</v>
      </c>
      <c r="BX37" s="4">
        <v>579578</v>
      </c>
      <c r="BY37" s="4">
        <v>579584</v>
      </c>
      <c r="BZ37" s="4">
        <v>100000</v>
      </c>
      <c r="CA37" s="4">
        <v>100032</v>
      </c>
      <c r="CB37" s="4">
        <v>0</v>
      </c>
      <c r="CC37" s="4">
        <v>4140</v>
      </c>
      <c r="CD37" s="4">
        <v>201633</v>
      </c>
      <c r="CE37" s="4">
        <v>201664</v>
      </c>
      <c r="CG37" s="4">
        <v>28</v>
      </c>
      <c r="CH37" s="4">
        <v>2326</v>
      </c>
      <c r="CI37" s="4">
        <v>2916</v>
      </c>
      <c r="CJ37" s="4">
        <v>583297</v>
      </c>
      <c r="CK37" s="4">
        <v>583296</v>
      </c>
      <c r="CL37" s="4">
        <v>100000</v>
      </c>
      <c r="CM37" s="4">
        <v>100032</v>
      </c>
      <c r="CN37" s="4">
        <v>54</v>
      </c>
      <c r="CO37" s="4">
        <v>4408</v>
      </c>
      <c r="CP37" s="4">
        <v>201901</v>
      </c>
      <c r="CQ37" s="4">
        <v>201920</v>
      </c>
    </row>
    <row r="38" spans="1:95" x14ac:dyDescent="0.25">
      <c r="M38" s="4">
        <v>29</v>
      </c>
      <c r="N38" s="4">
        <v>2404</v>
      </c>
      <c r="O38" s="4">
        <v>2816</v>
      </c>
      <c r="P38" s="4">
        <v>563281</v>
      </c>
      <c r="Q38" s="4">
        <v>563264</v>
      </c>
      <c r="R38" s="4">
        <v>100000</v>
      </c>
      <c r="S38" s="4">
        <v>100032</v>
      </c>
      <c r="T38" s="4">
        <v>0</v>
      </c>
      <c r="U38" s="4">
        <v>4165</v>
      </c>
      <c r="V38" s="4">
        <v>201658</v>
      </c>
      <c r="W38" s="4">
        <v>201664</v>
      </c>
      <c r="Y38" s="4">
        <v>29</v>
      </c>
      <c r="Z38" s="4">
        <v>2405</v>
      </c>
      <c r="AA38" s="4">
        <v>2815</v>
      </c>
      <c r="AB38" s="4">
        <v>563047</v>
      </c>
      <c r="AC38" s="4">
        <v>563072</v>
      </c>
      <c r="AD38" s="4">
        <v>100000</v>
      </c>
      <c r="AE38" s="4">
        <v>100032</v>
      </c>
      <c r="AF38" s="4">
        <v>456</v>
      </c>
      <c r="AG38" s="4">
        <v>6338</v>
      </c>
      <c r="AH38" s="4">
        <v>203830</v>
      </c>
      <c r="AI38" s="4">
        <v>203840</v>
      </c>
      <c r="AK38" s="4">
        <v>29</v>
      </c>
      <c r="AL38" s="4">
        <v>2418</v>
      </c>
      <c r="AM38" s="4">
        <v>2799</v>
      </c>
      <c r="AN38" s="4">
        <v>559844</v>
      </c>
      <c r="AO38" s="4">
        <v>559872</v>
      </c>
      <c r="AP38" s="4">
        <v>100000</v>
      </c>
      <c r="AQ38" s="4">
        <v>100032</v>
      </c>
      <c r="AR38" s="4">
        <v>2048</v>
      </c>
      <c r="AS38" s="4">
        <v>15481</v>
      </c>
      <c r="AT38" s="4">
        <v>212967</v>
      </c>
      <c r="AU38" s="4">
        <v>212992</v>
      </c>
      <c r="AW38" s="4">
        <v>29</v>
      </c>
      <c r="AX38" s="4">
        <v>2364</v>
      </c>
      <c r="AY38" s="4">
        <v>2867</v>
      </c>
      <c r="AZ38" s="4">
        <v>573516</v>
      </c>
      <c r="BA38" s="4">
        <v>573504</v>
      </c>
      <c r="BB38" s="4">
        <v>100000</v>
      </c>
      <c r="BC38" s="4">
        <v>100032</v>
      </c>
      <c r="BD38" s="4">
        <v>30</v>
      </c>
      <c r="BE38" s="4">
        <v>4310</v>
      </c>
      <c r="BF38" s="4">
        <v>201803</v>
      </c>
      <c r="BG38" s="4">
        <v>201792</v>
      </c>
      <c r="BI38" s="4">
        <v>29</v>
      </c>
      <c r="BJ38" s="4">
        <v>2344</v>
      </c>
      <c r="BK38" s="4">
        <v>2893</v>
      </c>
      <c r="BL38" s="4">
        <v>578760</v>
      </c>
      <c r="BM38" s="4">
        <v>578752</v>
      </c>
      <c r="BN38" s="4">
        <v>100000</v>
      </c>
      <c r="BO38" s="4">
        <v>100032</v>
      </c>
      <c r="BP38" s="4">
        <v>0</v>
      </c>
      <c r="BQ38" s="4">
        <v>4206</v>
      </c>
      <c r="BR38" s="4">
        <v>201699</v>
      </c>
      <c r="BS38" s="4">
        <v>201728</v>
      </c>
      <c r="BU38" s="4">
        <v>29</v>
      </c>
      <c r="BV38" s="4">
        <v>2341</v>
      </c>
      <c r="BW38" s="4">
        <v>2897</v>
      </c>
      <c r="BX38" s="4">
        <v>579515</v>
      </c>
      <c r="BY38" s="4">
        <v>579520</v>
      </c>
      <c r="BZ38" s="4">
        <v>100000</v>
      </c>
      <c r="CA38" s="4">
        <v>100032</v>
      </c>
      <c r="CB38" s="4">
        <v>0</v>
      </c>
      <c r="CC38" s="4">
        <v>4005</v>
      </c>
      <c r="CD38" s="4">
        <v>201498</v>
      </c>
      <c r="CE38" s="4">
        <v>201472</v>
      </c>
      <c r="CG38" s="4">
        <v>29</v>
      </c>
      <c r="CH38" s="4">
        <v>2327</v>
      </c>
      <c r="CI38" s="4">
        <v>2915</v>
      </c>
      <c r="CJ38" s="4">
        <v>583125</v>
      </c>
      <c r="CK38" s="4">
        <v>583104</v>
      </c>
      <c r="CL38" s="4">
        <v>100000</v>
      </c>
      <c r="CM38" s="4">
        <v>100032</v>
      </c>
      <c r="CN38" s="4">
        <v>56</v>
      </c>
      <c r="CO38" s="4">
        <v>4416</v>
      </c>
      <c r="CP38" s="4">
        <v>201909</v>
      </c>
      <c r="CQ38" s="4">
        <v>201920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F85"/>
  <sheetViews>
    <sheetView workbookViewId="0"/>
  </sheetViews>
  <sheetFormatPr defaultRowHeight="15" x14ac:dyDescent="0.25"/>
  <cols>
    <col min="2" max="2" width="9.7109375" bestFit="1" customWidth="1"/>
    <col min="4" max="4" width="12.85546875" customWidth="1"/>
    <col min="5" max="5" width="15.85546875" bestFit="1" customWidth="1"/>
    <col min="6" max="6" width="15.7109375" bestFit="1" customWidth="1"/>
    <col min="9" max="9" width="16.5703125" customWidth="1"/>
    <col min="32" max="32" width="12" bestFit="1" customWidth="1"/>
  </cols>
  <sheetData>
    <row r="1" spans="1:32" x14ac:dyDescent="0.25">
      <c r="A1" t="s">
        <v>0</v>
      </c>
      <c r="D1" t="s">
        <v>2384</v>
      </c>
    </row>
    <row r="2" spans="1:32" x14ac:dyDescent="0.25">
      <c r="D2" t="s">
        <v>2385</v>
      </c>
    </row>
    <row r="3" spans="1:32" x14ac:dyDescent="0.25">
      <c r="A3" s="1" t="s">
        <v>761</v>
      </c>
      <c r="B3" s="1">
        <v>42838</v>
      </c>
      <c r="AD3" t="s">
        <v>2386</v>
      </c>
    </row>
    <row r="4" spans="1:32" x14ac:dyDescent="0.25">
      <c r="A4" t="s">
        <v>762</v>
      </c>
      <c r="B4" s="3">
        <v>0.46875</v>
      </c>
      <c r="AD4" t="s">
        <v>2387</v>
      </c>
      <c r="AE4">
        <v>9465.2999999999993</v>
      </c>
    </row>
    <row r="5" spans="1:32" x14ac:dyDescent="0.25">
      <c r="A5" t="s">
        <v>763</v>
      </c>
      <c r="B5" s="3">
        <v>0.47916666666666669</v>
      </c>
      <c r="I5" t="s">
        <v>2388</v>
      </c>
      <c r="L5" t="s">
        <v>2389</v>
      </c>
      <c r="O5" t="s">
        <v>2390</v>
      </c>
      <c r="AD5" t="s">
        <v>2391</v>
      </c>
      <c r="AE5">
        <v>-115608</v>
      </c>
    </row>
    <row r="6" spans="1:32" x14ac:dyDescent="0.25">
      <c r="I6" t="s">
        <v>2392</v>
      </c>
      <c r="L6" t="s">
        <v>2393</v>
      </c>
      <c r="O6" t="s">
        <v>2394</v>
      </c>
    </row>
    <row r="7" spans="1:32" x14ac:dyDescent="0.25">
      <c r="A7" t="s">
        <v>2395</v>
      </c>
      <c r="U7" t="s">
        <v>788</v>
      </c>
      <c r="V7" t="s">
        <v>2396</v>
      </c>
      <c r="AC7" t="s">
        <v>2396</v>
      </c>
      <c r="AD7" t="s">
        <v>788</v>
      </c>
    </row>
    <row r="8" spans="1:32" x14ac:dyDescent="0.25">
      <c r="A8" t="s">
        <v>2397</v>
      </c>
      <c r="I8" t="s">
        <v>2398</v>
      </c>
      <c r="J8" t="s">
        <v>2399</v>
      </c>
      <c r="L8" t="s">
        <v>2400</v>
      </c>
      <c r="M8" t="s">
        <v>2399</v>
      </c>
      <c r="O8" t="s">
        <v>2401</v>
      </c>
      <c r="P8" t="s">
        <v>2399</v>
      </c>
      <c r="R8" t="s">
        <v>2402</v>
      </c>
      <c r="S8" t="s">
        <v>2399</v>
      </c>
      <c r="U8">
        <v>201561</v>
      </c>
      <c r="V8">
        <v>0</v>
      </c>
      <c r="AC8">
        <v>0</v>
      </c>
      <c r="AD8">
        <v>201561</v>
      </c>
      <c r="AE8">
        <f>$AE$4*LN(AD8)+$AE$5</f>
        <v>-0.27073404104157817</v>
      </c>
      <c r="AF8">
        <f>EXP((AC8-$AE$5)/$AE$4)</f>
        <v>201566.76529053174</v>
      </c>
    </row>
    <row r="9" spans="1:32" x14ac:dyDescent="0.25">
      <c r="A9" t="s">
        <v>2403</v>
      </c>
      <c r="I9">
        <v>201404</v>
      </c>
      <c r="J9">
        <f>AVERAGE(I9:I85)</f>
        <v>201561.16883116882</v>
      </c>
      <c r="O9">
        <v>203518</v>
      </c>
      <c r="P9">
        <f>AVERAGE(O9:O85)</f>
        <v>203703.15151515152</v>
      </c>
      <c r="R9">
        <v>212085</v>
      </c>
      <c r="S9">
        <f>AVERAGE(R9:R85)</f>
        <v>212495.25</v>
      </c>
      <c r="U9">
        <v>203703</v>
      </c>
      <c r="V9">
        <v>100</v>
      </c>
      <c r="AC9">
        <v>100</v>
      </c>
      <c r="AD9">
        <v>203703</v>
      </c>
      <c r="AE9">
        <f t="shared" ref="AE9:AE10" si="0">$AE$4*LN(AD9)+$AE$5</f>
        <v>99.786815607250901</v>
      </c>
      <c r="AF9">
        <f t="shared" ref="AF9:AF15" si="1">EXP((AC9-$AE$5)/$AE$4)</f>
        <v>203707.5879992602</v>
      </c>
    </row>
    <row r="10" spans="1:32" x14ac:dyDescent="0.25">
      <c r="I10">
        <v>201422</v>
      </c>
      <c r="O10">
        <v>203497</v>
      </c>
      <c r="R10">
        <v>212183</v>
      </c>
      <c r="U10">
        <v>212495</v>
      </c>
      <c r="V10">
        <v>500</v>
      </c>
      <c r="AC10">
        <v>500</v>
      </c>
      <c r="AD10">
        <v>212495</v>
      </c>
      <c r="AE10">
        <f t="shared" si="0"/>
        <v>499.74692905446864</v>
      </c>
      <c r="AF10">
        <f t="shared" si="1"/>
        <v>212500.68149234334</v>
      </c>
    </row>
    <row r="11" spans="1:32" x14ac:dyDescent="0.25">
      <c r="A11" t="s">
        <v>2404</v>
      </c>
      <c r="I11">
        <v>201295</v>
      </c>
      <c r="O11">
        <v>203376</v>
      </c>
      <c r="R11">
        <v>211879</v>
      </c>
      <c r="AC11">
        <v>50</v>
      </c>
      <c r="AF11">
        <f t="shared" si="1"/>
        <v>202634.34945276979</v>
      </c>
    </row>
    <row r="12" spans="1:32" x14ac:dyDescent="0.25">
      <c r="I12">
        <v>201597</v>
      </c>
      <c r="O12">
        <v>203372</v>
      </c>
      <c r="R12">
        <v>212032</v>
      </c>
      <c r="AC12">
        <v>300</v>
      </c>
      <c r="AF12">
        <f t="shared" si="1"/>
        <v>208057.68737300791</v>
      </c>
    </row>
    <row r="13" spans="1:32" x14ac:dyDescent="0.25">
      <c r="A13" t="s">
        <v>2405</v>
      </c>
      <c r="B13" t="s">
        <v>788</v>
      </c>
      <c r="D13" t="s">
        <v>2406</v>
      </c>
      <c r="I13">
        <v>201613</v>
      </c>
      <c r="O13">
        <v>203533</v>
      </c>
      <c r="R13">
        <v>212043</v>
      </c>
      <c r="AC13">
        <v>1000</v>
      </c>
      <c r="AF13">
        <f t="shared" si="1"/>
        <v>224027.70401967363</v>
      </c>
    </row>
    <row r="14" spans="1:32" x14ac:dyDescent="0.25">
      <c r="A14">
        <v>0</v>
      </c>
      <c r="B14">
        <v>201567</v>
      </c>
      <c r="D14" t="s">
        <v>2407</v>
      </c>
      <c r="I14">
        <v>210596</v>
      </c>
      <c r="O14">
        <v>203406</v>
      </c>
      <c r="R14">
        <v>212042</v>
      </c>
      <c r="AC14">
        <v>2000</v>
      </c>
      <c r="AF14">
        <f t="shared" si="1"/>
        <v>248991.50460635984</v>
      </c>
    </row>
    <row r="15" spans="1:32" x14ac:dyDescent="0.25">
      <c r="A15">
        <v>10</v>
      </c>
      <c r="B15">
        <v>201800</v>
      </c>
      <c r="D15" t="s">
        <v>2408</v>
      </c>
      <c r="E15" t="s">
        <v>2409</v>
      </c>
      <c r="F15" t="s">
        <v>2410</v>
      </c>
      <c r="I15">
        <v>201521</v>
      </c>
      <c r="O15">
        <v>203523</v>
      </c>
      <c r="R15">
        <v>211926</v>
      </c>
      <c r="AC15">
        <v>10</v>
      </c>
      <c r="AF15">
        <f t="shared" si="1"/>
        <v>201779.83120443753</v>
      </c>
    </row>
    <row r="16" spans="1:32" x14ac:dyDescent="0.25">
      <c r="A16">
        <v>50</v>
      </c>
      <c r="B16">
        <v>202634</v>
      </c>
      <c r="D16">
        <v>0</v>
      </c>
      <c r="E16">
        <v>0</v>
      </c>
      <c r="F16">
        <v>0</v>
      </c>
      <c r="I16">
        <v>201482</v>
      </c>
      <c r="O16">
        <v>203534</v>
      </c>
      <c r="R16">
        <v>212002</v>
      </c>
    </row>
    <row r="17" spans="1:18" x14ac:dyDescent="0.25">
      <c r="A17">
        <v>100</v>
      </c>
      <c r="B17">
        <v>203708</v>
      </c>
      <c r="D17">
        <v>500</v>
      </c>
      <c r="E17">
        <v>483</v>
      </c>
      <c r="F17">
        <v>502</v>
      </c>
      <c r="I17">
        <v>201440</v>
      </c>
      <c r="O17">
        <v>203542</v>
      </c>
      <c r="R17">
        <v>211959</v>
      </c>
    </row>
    <row r="18" spans="1:18" x14ac:dyDescent="0.25">
      <c r="A18">
        <v>300</v>
      </c>
      <c r="B18">
        <v>208058</v>
      </c>
      <c r="I18">
        <v>201493</v>
      </c>
      <c r="O18">
        <v>203690</v>
      </c>
      <c r="R18">
        <v>211982</v>
      </c>
    </row>
    <row r="19" spans="1:18" x14ac:dyDescent="0.25">
      <c r="A19">
        <v>500</v>
      </c>
      <c r="B19">
        <v>2125001</v>
      </c>
      <c r="I19">
        <v>201169</v>
      </c>
      <c r="O19">
        <v>203647</v>
      </c>
      <c r="R19">
        <v>212043</v>
      </c>
    </row>
    <row r="20" spans="1:18" x14ac:dyDescent="0.25">
      <c r="A20">
        <v>1000</v>
      </c>
      <c r="B20">
        <v>224028</v>
      </c>
      <c r="D20">
        <v>0</v>
      </c>
      <c r="E20">
        <v>201566.76529053174</v>
      </c>
      <c r="I20">
        <v>201518</v>
      </c>
      <c r="O20">
        <v>203517</v>
      </c>
      <c r="R20">
        <v>212459</v>
      </c>
    </row>
    <row r="21" spans="1:18" x14ac:dyDescent="0.25">
      <c r="A21">
        <v>2000</v>
      </c>
      <c r="B21">
        <v>248992</v>
      </c>
      <c r="D21">
        <v>100</v>
      </c>
      <c r="E21">
        <v>203707.5879992602</v>
      </c>
      <c r="I21">
        <v>201402</v>
      </c>
      <c r="O21">
        <v>203552</v>
      </c>
      <c r="R21">
        <v>212404</v>
      </c>
    </row>
    <row r="22" spans="1:18" x14ac:dyDescent="0.25">
      <c r="D22">
        <v>500</v>
      </c>
      <c r="E22">
        <v>212500.68149234334</v>
      </c>
      <c r="I22">
        <v>201121</v>
      </c>
      <c r="O22">
        <v>203523</v>
      </c>
      <c r="R22">
        <v>212444</v>
      </c>
    </row>
    <row r="23" spans="1:18" x14ac:dyDescent="0.25">
      <c r="D23">
        <v>50</v>
      </c>
      <c r="E23">
        <v>202634.34945276979</v>
      </c>
      <c r="I23">
        <v>201344</v>
      </c>
      <c r="O23">
        <v>203717</v>
      </c>
      <c r="R23">
        <v>212574</v>
      </c>
    </row>
    <row r="24" spans="1:18" x14ac:dyDescent="0.25">
      <c r="D24">
        <v>300</v>
      </c>
      <c r="E24">
        <v>208057.68737300791</v>
      </c>
      <c r="I24">
        <v>201517</v>
      </c>
      <c r="O24">
        <v>203885</v>
      </c>
      <c r="R24">
        <v>212513</v>
      </c>
    </row>
    <row r="25" spans="1:18" x14ac:dyDescent="0.25">
      <c r="D25">
        <v>1000</v>
      </c>
      <c r="E25">
        <v>224027.70401967363</v>
      </c>
      <c r="I25">
        <v>201384</v>
      </c>
      <c r="O25">
        <v>203967</v>
      </c>
      <c r="R25">
        <v>212609</v>
      </c>
    </row>
    <row r="26" spans="1:18" x14ac:dyDescent="0.25">
      <c r="D26">
        <v>2000</v>
      </c>
      <c r="E26">
        <v>248991.50460635984</v>
      </c>
      <c r="I26">
        <v>201351</v>
      </c>
      <c r="O26">
        <v>203902</v>
      </c>
      <c r="R26">
        <v>212750</v>
      </c>
    </row>
    <row r="27" spans="1:18" x14ac:dyDescent="0.25">
      <c r="D27">
        <v>10</v>
      </c>
      <c r="E27">
        <v>201779.83120443753</v>
      </c>
      <c r="I27">
        <v>201462</v>
      </c>
      <c r="O27">
        <v>203808</v>
      </c>
      <c r="R27">
        <v>212526</v>
      </c>
    </row>
    <row r="28" spans="1:18" x14ac:dyDescent="0.25">
      <c r="I28">
        <v>201491</v>
      </c>
      <c r="O28">
        <v>203802</v>
      </c>
      <c r="R28">
        <v>212632</v>
      </c>
    </row>
    <row r="29" spans="1:18" x14ac:dyDescent="0.25">
      <c r="I29">
        <v>201436</v>
      </c>
      <c r="O29">
        <v>203742</v>
      </c>
      <c r="R29">
        <v>212645</v>
      </c>
    </row>
    <row r="30" spans="1:18" x14ac:dyDescent="0.25">
      <c r="I30">
        <v>201434</v>
      </c>
      <c r="O30">
        <v>203947</v>
      </c>
      <c r="R30">
        <v>212560</v>
      </c>
    </row>
    <row r="31" spans="1:18" x14ac:dyDescent="0.25">
      <c r="I31">
        <v>201317</v>
      </c>
      <c r="O31">
        <v>203723</v>
      </c>
      <c r="R31">
        <v>212819</v>
      </c>
    </row>
    <row r="32" spans="1:18" x14ac:dyDescent="0.25">
      <c r="I32">
        <v>201221</v>
      </c>
      <c r="O32">
        <v>203646</v>
      </c>
      <c r="R32">
        <v>212664</v>
      </c>
    </row>
    <row r="33" spans="9:18" x14ac:dyDescent="0.25">
      <c r="I33">
        <v>201297</v>
      </c>
      <c r="O33">
        <v>203717</v>
      </c>
      <c r="R33">
        <v>212799</v>
      </c>
    </row>
    <row r="34" spans="9:18" x14ac:dyDescent="0.25">
      <c r="I34">
        <v>201398</v>
      </c>
      <c r="O34">
        <v>203618</v>
      </c>
      <c r="R34">
        <v>212902</v>
      </c>
    </row>
    <row r="35" spans="9:18" x14ac:dyDescent="0.25">
      <c r="I35">
        <v>201551</v>
      </c>
      <c r="O35">
        <v>203837</v>
      </c>
      <c r="R35">
        <v>212885</v>
      </c>
    </row>
    <row r="36" spans="9:18" x14ac:dyDescent="0.25">
      <c r="I36">
        <v>201242</v>
      </c>
      <c r="O36">
        <v>203968</v>
      </c>
      <c r="R36">
        <v>212768</v>
      </c>
    </row>
    <row r="37" spans="9:18" x14ac:dyDescent="0.25">
      <c r="I37">
        <v>201330</v>
      </c>
      <c r="O37">
        <v>203892</v>
      </c>
      <c r="R37">
        <v>212647</v>
      </c>
    </row>
    <row r="38" spans="9:18" x14ac:dyDescent="0.25">
      <c r="I38">
        <v>201281</v>
      </c>
      <c r="O38">
        <v>203975</v>
      </c>
      <c r="R38">
        <v>212546</v>
      </c>
    </row>
    <row r="39" spans="9:18" x14ac:dyDescent="0.25">
      <c r="I39">
        <v>201368</v>
      </c>
      <c r="O39">
        <v>204007</v>
      </c>
      <c r="R39">
        <v>212682</v>
      </c>
    </row>
    <row r="40" spans="9:18" x14ac:dyDescent="0.25">
      <c r="I40">
        <v>201360</v>
      </c>
      <c r="O40">
        <v>203894</v>
      </c>
      <c r="R40">
        <v>212542</v>
      </c>
    </row>
    <row r="41" spans="9:18" x14ac:dyDescent="0.25">
      <c r="I41">
        <v>201342</v>
      </c>
      <c r="O41">
        <v>203927</v>
      </c>
      <c r="R41">
        <v>212491</v>
      </c>
    </row>
    <row r="42" spans="9:18" x14ac:dyDescent="0.25">
      <c r="I42">
        <v>201401</v>
      </c>
      <c r="R42">
        <v>212802</v>
      </c>
    </row>
    <row r="43" spans="9:18" x14ac:dyDescent="0.25">
      <c r="I43">
        <v>201529</v>
      </c>
      <c r="R43">
        <v>212659</v>
      </c>
    </row>
    <row r="44" spans="9:18" x14ac:dyDescent="0.25">
      <c r="I44">
        <v>201337</v>
      </c>
      <c r="R44">
        <v>212629</v>
      </c>
    </row>
    <row r="45" spans="9:18" x14ac:dyDescent="0.25">
      <c r="I45">
        <v>201321</v>
      </c>
      <c r="R45">
        <v>212693</v>
      </c>
    </row>
    <row r="46" spans="9:18" x14ac:dyDescent="0.25">
      <c r="I46">
        <v>201336</v>
      </c>
      <c r="R46">
        <v>212871</v>
      </c>
    </row>
    <row r="47" spans="9:18" x14ac:dyDescent="0.25">
      <c r="I47">
        <v>201550</v>
      </c>
      <c r="R47">
        <v>212691</v>
      </c>
    </row>
    <row r="48" spans="9:18" x14ac:dyDescent="0.25">
      <c r="I48">
        <v>201489</v>
      </c>
      <c r="R48">
        <v>212632</v>
      </c>
    </row>
    <row r="49" spans="9:18" x14ac:dyDescent="0.25">
      <c r="I49">
        <v>201526</v>
      </c>
      <c r="R49">
        <v>212654</v>
      </c>
    </row>
    <row r="50" spans="9:18" x14ac:dyDescent="0.25">
      <c r="I50">
        <v>201495</v>
      </c>
      <c r="R50">
        <v>212797</v>
      </c>
    </row>
    <row r="51" spans="9:18" x14ac:dyDescent="0.25">
      <c r="I51">
        <v>201432</v>
      </c>
      <c r="R51">
        <v>212629</v>
      </c>
    </row>
    <row r="52" spans="9:18" x14ac:dyDescent="0.25">
      <c r="I52">
        <v>201396</v>
      </c>
      <c r="R52">
        <v>212697</v>
      </c>
    </row>
    <row r="53" spans="9:18" x14ac:dyDescent="0.25">
      <c r="I53">
        <v>201545</v>
      </c>
    </row>
    <row r="54" spans="9:18" x14ac:dyDescent="0.25">
      <c r="I54">
        <v>201476</v>
      </c>
    </row>
    <row r="55" spans="9:18" x14ac:dyDescent="0.25">
      <c r="I55">
        <v>201377</v>
      </c>
    </row>
    <row r="56" spans="9:18" x14ac:dyDescent="0.25">
      <c r="I56">
        <v>201373</v>
      </c>
    </row>
    <row r="57" spans="9:18" x14ac:dyDescent="0.25">
      <c r="I57">
        <v>201514</v>
      </c>
    </row>
    <row r="58" spans="9:18" x14ac:dyDescent="0.25">
      <c r="I58">
        <v>201572</v>
      </c>
    </row>
    <row r="59" spans="9:18" x14ac:dyDescent="0.25">
      <c r="I59">
        <v>201521</v>
      </c>
    </row>
    <row r="60" spans="9:18" x14ac:dyDescent="0.25">
      <c r="I60">
        <v>201455</v>
      </c>
    </row>
    <row r="61" spans="9:18" x14ac:dyDescent="0.25">
      <c r="I61">
        <v>201426</v>
      </c>
    </row>
    <row r="62" spans="9:18" x14ac:dyDescent="0.25">
      <c r="I62">
        <v>201630</v>
      </c>
    </row>
    <row r="63" spans="9:18" x14ac:dyDescent="0.25">
      <c r="I63">
        <v>201428</v>
      </c>
    </row>
    <row r="64" spans="9:18" x14ac:dyDescent="0.25">
      <c r="I64">
        <v>201395</v>
      </c>
    </row>
    <row r="65" spans="9:9" x14ac:dyDescent="0.25">
      <c r="I65">
        <v>201493</v>
      </c>
    </row>
    <row r="66" spans="9:9" x14ac:dyDescent="0.25">
      <c r="I66">
        <v>201394</v>
      </c>
    </row>
    <row r="67" spans="9:9" x14ac:dyDescent="0.25">
      <c r="I67">
        <v>201419</v>
      </c>
    </row>
    <row r="68" spans="9:9" x14ac:dyDescent="0.25">
      <c r="I68">
        <v>201516</v>
      </c>
    </row>
    <row r="69" spans="9:9" x14ac:dyDescent="0.25">
      <c r="I69">
        <v>201469</v>
      </c>
    </row>
    <row r="70" spans="9:9" x14ac:dyDescent="0.25">
      <c r="I70">
        <v>201369</v>
      </c>
    </row>
    <row r="71" spans="9:9" x14ac:dyDescent="0.25">
      <c r="I71">
        <v>201439</v>
      </c>
    </row>
    <row r="72" spans="9:9" x14ac:dyDescent="0.25">
      <c r="I72">
        <v>201490</v>
      </c>
    </row>
    <row r="73" spans="9:9" x14ac:dyDescent="0.25">
      <c r="I73">
        <v>201499</v>
      </c>
    </row>
    <row r="74" spans="9:9" x14ac:dyDescent="0.25">
      <c r="I74">
        <v>201653</v>
      </c>
    </row>
    <row r="75" spans="9:9" x14ac:dyDescent="0.25">
      <c r="I75">
        <v>201380</v>
      </c>
    </row>
    <row r="76" spans="9:9" x14ac:dyDescent="0.25">
      <c r="I76">
        <v>201636</v>
      </c>
    </row>
    <row r="77" spans="9:9" x14ac:dyDescent="0.25">
      <c r="I77">
        <v>201669</v>
      </c>
    </row>
    <row r="78" spans="9:9" x14ac:dyDescent="0.25">
      <c r="I78">
        <v>201521</v>
      </c>
    </row>
    <row r="79" spans="9:9" x14ac:dyDescent="0.25">
      <c r="I79">
        <v>201560</v>
      </c>
    </row>
    <row r="80" spans="9:9" x14ac:dyDescent="0.25">
      <c r="I80">
        <v>201510</v>
      </c>
    </row>
    <row r="81" spans="9:9" x14ac:dyDescent="0.25">
      <c r="I81">
        <v>201539</v>
      </c>
    </row>
    <row r="82" spans="9:9" x14ac:dyDescent="0.25">
      <c r="I82">
        <v>201541</v>
      </c>
    </row>
    <row r="83" spans="9:9" x14ac:dyDescent="0.25">
      <c r="I83">
        <v>201454</v>
      </c>
    </row>
    <row r="84" spans="9:9" x14ac:dyDescent="0.25">
      <c r="I84">
        <v>201523</v>
      </c>
    </row>
    <row r="85" spans="9:9" x14ac:dyDescent="0.25">
      <c r="I85">
        <v>201413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42"/>
  <sheetViews>
    <sheetView workbookViewId="0">
      <selection sqref="A1:E9"/>
    </sheetView>
  </sheetViews>
  <sheetFormatPr defaultRowHeight="15" x14ac:dyDescent="0.25"/>
  <cols>
    <col min="1" max="1" width="8.140625" customWidth="1"/>
    <col min="2" max="2" width="9.7109375" bestFit="1" customWidth="1"/>
  </cols>
  <sheetData>
    <row r="1" spans="1:5" x14ac:dyDescent="0.25">
      <c r="A1" t="s">
        <v>0</v>
      </c>
    </row>
    <row r="3" spans="1:5" x14ac:dyDescent="0.25">
      <c r="A3" s="1" t="s">
        <v>761</v>
      </c>
      <c r="B3" s="1">
        <v>42838</v>
      </c>
    </row>
    <row r="4" spans="1:5" x14ac:dyDescent="0.25">
      <c r="A4" t="s">
        <v>762</v>
      </c>
      <c r="B4" s="3">
        <v>0.47430555555555554</v>
      </c>
    </row>
    <row r="5" spans="1:5" x14ac:dyDescent="0.25">
      <c r="A5" t="s">
        <v>763</v>
      </c>
      <c r="B5" s="3"/>
    </row>
    <row r="7" spans="1:5" x14ac:dyDescent="0.25">
      <c r="A7" t="s">
        <v>1528</v>
      </c>
    </row>
    <row r="8" spans="1:5" x14ac:dyDescent="0.25">
      <c r="A8" t="s">
        <v>1</v>
      </c>
      <c r="E8" t="s">
        <v>533</v>
      </c>
    </row>
    <row r="9" spans="1:5" x14ac:dyDescent="0.25">
      <c r="A9" t="s">
        <v>2</v>
      </c>
      <c r="E9" t="s">
        <v>933</v>
      </c>
    </row>
    <row r="10" spans="1:5" x14ac:dyDescent="0.25">
      <c r="A10" t="s">
        <v>3</v>
      </c>
      <c r="E10" t="s">
        <v>934</v>
      </c>
    </row>
    <row r="11" spans="1:5" x14ac:dyDescent="0.25">
      <c r="A11" t="s">
        <v>4</v>
      </c>
      <c r="E11" t="s">
        <v>935</v>
      </c>
    </row>
    <row r="12" spans="1:5" x14ac:dyDescent="0.25">
      <c r="A12" t="s">
        <v>5</v>
      </c>
      <c r="E12" t="s">
        <v>936</v>
      </c>
    </row>
    <row r="13" spans="1:5" x14ac:dyDescent="0.25">
      <c r="A13" t="s">
        <v>6</v>
      </c>
      <c r="E13" t="s">
        <v>181</v>
      </c>
    </row>
    <row r="14" spans="1:5" x14ac:dyDescent="0.25">
      <c r="A14" t="s">
        <v>7</v>
      </c>
      <c r="E14" t="s">
        <v>182</v>
      </c>
    </row>
    <row r="15" spans="1:5" x14ac:dyDescent="0.25">
      <c r="A15" t="s">
        <v>8</v>
      </c>
      <c r="E15" t="s">
        <v>14</v>
      </c>
    </row>
    <row r="16" spans="1:5" x14ac:dyDescent="0.25">
      <c r="A16" t="s">
        <v>9</v>
      </c>
      <c r="E16" t="s">
        <v>15</v>
      </c>
    </row>
    <row r="17" spans="1:5" x14ac:dyDescent="0.25">
      <c r="A17" t="s">
        <v>10</v>
      </c>
      <c r="E17" t="s">
        <v>12</v>
      </c>
    </row>
    <row r="18" spans="1:5" x14ac:dyDescent="0.25">
      <c r="A18" t="s">
        <v>11</v>
      </c>
      <c r="E18" t="s">
        <v>13</v>
      </c>
    </row>
    <row r="19" spans="1:5" x14ac:dyDescent="0.25">
      <c r="A19" t="s">
        <v>12</v>
      </c>
      <c r="E19" t="s">
        <v>10</v>
      </c>
    </row>
    <row r="20" spans="1:5" x14ac:dyDescent="0.25">
      <c r="A20" t="s">
        <v>13</v>
      </c>
      <c r="E20" t="s">
        <v>11</v>
      </c>
    </row>
    <row r="22" spans="1:5" x14ac:dyDescent="0.25">
      <c r="A22" t="s">
        <v>14</v>
      </c>
      <c r="E22" t="s">
        <v>8</v>
      </c>
    </row>
    <row r="23" spans="1:5" x14ac:dyDescent="0.25">
      <c r="A23" t="s">
        <v>15</v>
      </c>
      <c r="E23" t="s">
        <v>9</v>
      </c>
    </row>
    <row r="24" spans="1:5" x14ac:dyDescent="0.25">
      <c r="A24" t="s">
        <v>2411</v>
      </c>
      <c r="E24" t="s">
        <v>2412</v>
      </c>
    </row>
    <row r="25" spans="1:5" x14ac:dyDescent="0.25">
      <c r="A25" t="s">
        <v>16</v>
      </c>
      <c r="E25" t="s">
        <v>28</v>
      </c>
    </row>
    <row r="26" spans="1:5" x14ac:dyDescent="0.25">
      <c r="A26" t="s">
        <v>2413</v>
      </c>
      <c r="E26" t="s">
        <v>2414</v>
      </c>
    </row>
    <row r="27" spans="1:5" x14ac:dyDescent="0.25">
      <c r="A27" t="s">
        <v>18</v>
      </c>
      <c r="E27" t="s">
        <v>30</v>
      </c>
    </row>
    <row r="28" spans="1:5" x14ac:dyDescent="0.25">
      <c r="A28" t="s">
        <v>19</v>
      </c>
      <c r="E28" t="s">
        <v>31</v>
      </c>
    </row>
    <row r="29" spans="1:5" x14ac:dyDescent="0.25">
      <c r="A29" t="s">
        <v>20</v>
      </c>
      <c r="E29" t="s">
        <v>32</v>
      </c>
    </row>
    <row r="30" spans="1:5" x14ac:dyDescent="0.25">
      <c r="A30" t="s">
        <v>2415</v>
      </c>
      <c r="E30" t="s">
        <v>2416</v>
      </c>
    </row>
    <row r="31" spans="1:5" x14ac:dyDescent="0.25">
      <c r="A31" t="s">
        <v>22</v>
      </c>
      <c r="E31" t="s">
        <v>34</v>
      </c>
    </row>
    <row r="32" spans="1:5" x14ac:dyDescent="0.25">
      <c r="A32" t="s">
        <v>2417</v>
      </c>
      <c r="E32" t="s">
        <v>2418</v>
      </c>
    </row>
    <row r="33" spans="1:5" x14ac:dyDescent="0.25">
      <c r="A33" t="s">
        <v>24</v>
      </c>
      <c r="E33" t="s">
        <v>36</v>
      </c>
    </row>
    <row r="34" spans="1:5" x14ac:dyDescent="0.25">
      <c r="A34" t="s">
        <v>25</v>
      </c>
      <c r="E34" t="s">
        <v>37</v>
      </c>
    </row>
    <row r="35" spans="1:5" x14ac:dyDescent="0.25">
      <c r="A35" t="s">
        <v>26</v>
      </c>
      <c r="E35" t="s">
        <v>38</v>
      </c>
    </row>
    <row r="37" spans="1:5" x14ac:dyDescent="0.25">
      <c r="A37" t="s">
        <v>8</v>
      </c>
      <c r="E37" t="s">
        <v>14</v>
      </c>
    </row>
    <row r="38" spans="1:5" x14ac:dyDescent="0.25">
      <c r="A38" t="s">
        <v>9</v>
      </c>
      <c r="E38" t="s">
        <v>15</v>
      </c>
    </row>
    <row r="39" spans="1:5" x14ac:dyDescent="0.25">
      <c r="A39" t="s">
        <v>2419</v>
      </c>
      <c r="E39" t="s">
        <v>2420</v>
      </c>
    </row>
    <row r="40" spans="1:5" x14ac:dyDescent="0.25">
      <c r="A40" t="s">
        <v>28</v>
      </c>
      <c r="E40" t="s">
        <v>16</v>
      </c>
    </row>
    <row r="41" spans="1:5" x14ac:dyDescent="0.25">
      <c r="A41" t="s">
        <v>2421</v>
      </c>
      <c r="E41" t="s">
        <v>2422</v>
      </c>
    </row>
    <row r="42" spans="1:5" x14ac:dyDescent="0.25">
      <c r="A42" t="s">
        <v>30</v>
      </c>
      <c r="E42" t="s">
        <v>18</v>
      </c>
    </row>
    <row r="43" spans="1:5" x14ac:dyDescent="0.25">
      <c r="A43" t="s">
        <v>31</v>
      </c>
      <c r="E43" t="s">
        <v>19</v>
      </c>
    </row>
    <row r="44" spans="1:5" x14ac:dyDescent="0.25">
      <c r="A44" t="s">
        <v>32</v>
      </c>
      <c r="E44" t="s">
        <v>20</v>
      </c>
    </row>
    <row r="45" spans="1:5" x14ac:dyDescent="0.25">
      <c r="A45" t="s">
        <v>2423</v>
      </c>
      <c r="E45" t="s">
        <v>2424</v>
      </c>
    </row>
    <row r="46" spans="1:5" x14ac:dyDescent="0.25">
      <c r="A46" t="s">
        <v>34</v>
      </c>
      <c r="E46" t="s">
        <v>22</v>
      </c>
    </row>
    <row r="47" spans="1:5" x14ac:dyDescent="0.25">
      <c r="A47" t="s">
        <v>2425</v>
      </c>
      <c r="E47" t="s">
        <v>2426</v>
      </c>
    </row>
    <row r="48" spans="1:5" x14ac:dyDescent="0.25">
      <c r="A48" t="s">
        <v>36</v>
      </c>
      <c r="E48" t="s">
        <v>24</v>
      </c>
    </row>
    <row r="49" spans="1:5" x14ac:dyDescent="0.25">
      <c r="A49" t="s">
        <v>37</v>
      </c>
      <c r="E49" t="s">
        <v>25</v>
      </c>
    </row>
    <row r="50" spans="1:5" x14ac:dyDescent="0.25">
      <c r="A50" t="s">
        <v>38</v>
      </c>
      <c r="E50" t="s">
        <v>26</v>
      </c>
    </row>
    <row r="52" spans="1:5" x14ac:dyDescent="0.25">
      <c r="A52" t="s">
        <v>14</v>
      </c>
      <c r="E52" t="s">
        <v>8</v>
      </c>
    </row>
    <row r="53" spans="1:5" x14ac:dyDescent="0.25">
      <c r="A53" t="s">
        <v>15</v>
      </c>
      <c r="E53" t="s">
        <v>9</v>
      </c>
    </row>
    <row r="54" spans="1:5" x14ac:dyDescent="0.25">
      <c r="A54" t="s">
        <v>2427</v>
      </c>
      <c r="E54" t="s">
        <v>2428</v>
      </c>
    </row>
    <row r="55" spans="1:5" x14ac:dyDescent="0.25">
      <c r="A55" t="s">
        <v>16</v>
      </c>
      <c r="E55" t="s">
        <v>28</v>
      </c>
    </row>
    <row r="56" spans="1:5" x14ac:dyDescent="0.25">
      <c r="A56" t="s">
        <v>2429</v>
      </c>
      <c r="E56" t="s">
        <v>2430</v>
      </c>
    </row>
    <row r="57" spans="1:5" x14ac:dyDescent="0.25">
      <c r="A57" t="s">
        <v>18</v>
      </c>
      <c r="E57" t="s">
        <v>30</v>
      </c>
    </row>
    <row r="58" spans="1:5" x14ac:dyDescent="0.25">
      <c r="A58" t="s">
        <v>19</v>
      </c>
      <c r="E58" t="s">
        <v>31</v>
      </c>
    </row>
    <row r="59" spans="1:5" x14ac:dyDescent="0.25">
      <c r="A59" t="s">
        <v>20</v>
      </c>
      <c r="E59" t="s">
        <v>32</v>
      </c>
    </row>
    <row r="60" spans="1:5" x14ac:dyDescent="0.25">
      <c r="A60" t="s">
        <v>2431</v>
      </c>
      <c r="E60" t="s">
        <v>2432</v>
      </c>
    </row>
    <row r="61" spans="1:5" x14ac:dyDescent="0.25">
      <c r="A61" t="s">
        <v>22</v>
      </c>
      <c r="E61" t="s">
        <v>34</v>
      </c>
    </row>
    <row r="62" spans="1:5" x14ac:dyDescent="0.25">
      <c r="A62" t="s">
        <v>2433</v>
      </c>
      <c r="E62" t="s">
        <v>2434</v>
      </c>
    </row>
    <row r="63" spans="1:5" x14ac:dyDescent="0.25">
      <c r="A63" t="s">
        <v>24</v>
      </c>
      <c r="E63" t="s">
        <v>36</v>
      </c>
    </row>
    <row r="64" spans="1:5" x14ac:dyDescent="0.25">
      <c r="A64" t="s">
        <v>25</v>
      </c>
      <c r="E64" t="s">
        <v>37</v>
      </c>
    </row>
    <row r="65" spans="1:5" x14ac:dyDescent="0.25">
      <c r="A65" t="s">
        <v>26</v>
      </c>
      <c r="E65" t="s">
        <v>38</v>
      </c>
    </row>
    <row r="67" spans="1:5" x14ac:dyDescent="0.25">
      <c r="A67" t="s">
        <v>8</v>
      </c>
      <c r="E67" t="s">
        <v>14</v>
      </c>
    </row>
    <row r="68" spans="1:5" x14ac:dyDescent="0.25">
      <c r="A68" t="s">
        <v>9</v>
      </c>
      <c r="E68" t="s">
        <v>15</v>
      </c>
    </row>
    <row r="69" spans="1:5" x14ac:dyDescent="0.25">
      <c r="A69" t="s">
        <v>2435</v>
      </c>
      <c r="E69" t="s">
        <v>2436</v>
      </c>
    </row>
    <row r="70" spans="1:5" x14ac:dyDescent="0.25">
      <c r="A70" t="s">
        <v>28</v>
      </c>
      <c r="E70" t="s">
        <v>16</v>
      </c>
    </row>
    <row r="71" spans="1:5" x14ac:dyDescent="0.25">
      <c r="A71" t="s">
        <v>2437</v>
      </c>
      <c r="E71" t="s">
        <v>2438</v>
      </c>
    </row>
    <row r="72" spans="1:5" x14ac:dyDescent="0.25">
      <c r="A72" t="s">
        <v>30</v>
      </c>
      <c r="E72" t="s">
        <v>18</v>
      </c>
    </row>
    <row r="73" spans="1:5" x14ac:dyDescent="0.25">
      <c r="A73" t="s">
        <v>31</v>
      </c>
      <c r="E73" t="s">
        <v>19</v>
      </c>
    </row>
    <row r="74" spans="1:5" x14ac:dyDescent="0.25">
      <c r="A74" t="s">
        <v>32</v>
      </c>
      <c r="E74" t="s">
        <v>20</v>
      </c>
    </row>
    <row r="75" spans="1:5" x14ac:dyDescent="0.25">
      <c r="A75" t="s">
        <v>2439</v>
      </c>
      <c r="E75" t="s">
        <v>2440</v>
      </c>
    </row>
    <row r="76" spans="1:5" x14ac:dyDescent="0.25">
      <c r="A76" t="s">
        <v>34</v>
      </c>
      <c r="E76" t="s">
        <v>22</v>
      </c>
    </row>
    <row r="77" spans="1:5" x14ac:dyDescent="0.25">
      <c r="A77" t="s">
        <v>2441</v>
      </c>
      <c r="E77" t="s">
        <v>2442</v>
      </c>
    </row>
    <row r="78" spans="1:5" x14ac:dyDescent="0.25">
      <c r="A78" t="s">
        <v>36</v>
      </c>
      <c r="E78" t="s">
        <v>24</v>
      </c>
    </row>
    <row r="79" spans="1:5" x14ac:dyDescent="0.25">
      <c r="A79" t="s">
        <v>37</v>
      </c>
      <c r="E79" t="s">
        <v>25</v>
      </c>
    </row>
    <row r="80" spans="1:5" x14ac:dyDescent="0.25">
      <c r="A80" t="s">
        <v>38</v>
      </c>
      <c r="E80" t="s">
        <v>26</v>
      </c>
    </row>
    <row r="82" spans="1:5" x14ac:dyDescent="0.25">
      <c r="A82" t="s">
        <v>14</v>
      </c>
      <c r="E82" t="s">
        <v>8</v>
      </c>
    </row>
    <row r="83" spans="1:5" x14ac:dyDescent="0.25">
      <c r="A83" t="s">
        <v>15</v>
      </c>
      <c r="E83" t="s">
        <v>9</v>
      </c>
    </row>
    <row r="84" spans="1:5" x14ac:dyDescent="0.25">
      <c r="A84" t="s">
        <v>2443</v>
      </c>
      <c r="E84" t="s">
        <v>2444</v>
      </c>
    </row>
    <row r="85" spans="1:5" x14ac:dyDescent="0.25">
      <c r="A85" t="s">
        <v>16</v>
      </c>
      <c r="E85" t="s">
        <v>28</v>
      </c>
    </row>
    <row r="86" spans="1:5" x14ac:dyDescent="0.25">
      <c r="A86" t="s">
        <v>2445</v>
      </c>
      <c r="E86" t="s">
        <v>2446</v>
      </c>
    </row>
    <row r="87" spans="1:5" x14ac:dyDescent="0.25">
      <c r="A87" t="s">
        <v>18</v>
      </c>
      <c r="E87" t="s">
        <v>30</v>
      </c>
    </row>
    <row r="88" spans="1:5" x14ac:dyDescent="0.25">
      <c r="A88" t="s">
        <v>19</v>
      </c>
      <c r="E88" t="s">
        <v>31</v>
      </c>
    </row>
    <row r="89" spans="1:5" x14ac:dyDescent="0.25">
      <c r="A89" t="s">
        <v>20</v>
      </c>
      <c r="E89" t="s">
        <v>32</v>
      </c>
    </row>
    <row r="90" spans="1:5" x14ac:dyDescent="0.25">
      <c r="A90" t="s">
        <v>2447</v>
      </c>
      <c r="E90" t="s">
        <v>2448</v>
      </c>
    </row>
    <row r="91" spans="1:5" x14ac:dyDescent="0.25">
      <c r="A91" t="s">
        <v>22</v>
      </c>
      <c r="E91" t="s">
        <v>34</v>
      </c>
    </row>
    <row r="92" spans="1:5" x14ac:dyDescent="0.25">
      <c r="A92" t="s">
        <v>2449</v>
      </c>
      <c r="E92" t="s">
        <v>2450</v>
      </c>
    </row>
    <row r="93" spans="1:5" x14ac:dyDescent="0.25">
      <c r="A93" t="s">
        <v>24</v>
      </c>
      <c r="E93" t="s">
        <v>36</v>
      </c>
    </row>
    <row r="94" spans="1:5" x14ac:dyDescent="0.25">
      <c r="A94" t="s">
        <v>25</v>
      </c>
      <c r="E94" t="s">
        <v>37</v>
      </c>
    </row>
    <row r="95" spans="1:5" x14ac:dyDescent="0.25">
      <c r="A95" t="s">
        <v>26</v>
      </c>
      <c r="E95" t="s">
        <v>38</v>
      </c>
    </row>
    <row r="97" spans="1:5" x14ac:dyDescent="0.25">
      <c r="A97" t="s">
        <v>8</v>
      </c>
      <c r="E97" t="s">
        <v>14</v>
      </c>
    </row>
    <row r="98" spans="1:5" x14ac:dyDescent="0.25">
      <c r="A98" t="s">
        <v>9</v>
      </c>
      <c r="E98" t="s">
        <v>15</v>
      </c>
    </row>
    <row r="99" spans="1:5" x14ac:dyDescent="0.25">
      <c r="A99" t="s">
        <v>2451</v>
      </c>
      <c r="E99" t="s">
        <v>2452</v>
      </c>
    </row>
    <row r="100" spans="1:5" x14ac:dyDescent="0.25">
      <c r="A100" t="s">
        <v>28</v>
      </c>
      <c r="E100" t="s">
        <v>16</v>
      </c>
    </row>
    <row r="101" spans="1:5" x14ac:dyDescent="0.25">
      <c r="A101" t="s">
        <v>2453</v>
      </c>
      <c r="E101" t="s">
        <v>2454</v>
      </c>
    </row>
    <row r="102" spans="1:5" x14ac:dyDescent="0.25">
      <c r="A102" t="s">
        <v>30</v>
      </c>
      <c r="E102" t="s">
        <v>18</v>
      </c>
    </row>
    <row r="103" spans="1:5" x14ac:dyDescent="0.25">
      <c r="A103" t="s">
        <v>31</v>
      </c>
      <c r="E103" t="s">
        <v>19</v>
      </c>
    </row>
    <row r="104" spans="1:5" x14ac:dyDescent="0.25">
      <c r="A104" t="s">
        <v>32</v>
      </c>
      <c r="E104" t="s">
        <v>20</v>
      </c>
    </row>
    <row r="105" spans="1:5" x14ac:dyDescent="0.25">
      <c r="A105" t="s">
        <v>2455</v>
      </c>
      <c r="E105" t="s">
        <v>2456</v>
      </c>
    </row>
    <row r="106" spans="1:5" x14ac:dyDescent="0.25">
      <c r="A106" t="s">
        <v>34</v>
      </c>
      <c r="E106" t="s">
        <v>22</v>
      </c>
    </row>
    <row r="107" spans="1:5" x14ac:dyDescent="0.25">
      <c r="A107" t="s">
        <v>2457</v>
      </c>
      <c r="E107" t="s">
        <v>2458</v>
      </c>
    </row>
    <row r="108" spans="1:5" x14ac:dyDescent="0.25">
      <c r="A108" t="s">
        <v>36</v>
      </c>
      <c r="E108" t="s">
        <v>24</v>
      </c>
    </row>
    <row r="109" spans="1:5" x14ac:dyDescent="0.25">
      <c r="A109" t="s">
        <v>37</v>
      </c>
      <c r="E109" t="s">
        <v>25</v>
      </c>
    </row>
    <row r="110" spans="1:5" x14ac:dyDescent="0.25">
      <c r="A110" t="s">
        <v>38</v>
      </c>
      <c r="E110" t="s">
        <v>26</v>
      </c>
    </row>
    <row r="112" spans="1:5" x14ac:dyDescent="0.25">
      <c r="A112" t="s">
        <v>14</v>
      </c>
      <c r="E112" t="s">
        <v>8</v>
      </c>
    </row>
    <row r="113" spans="1:5" x14ac:dyDescent="0.25">
      <c r="A113" t="s">
        <v>15</v>
      </c>
      <c r="E113" t="s">
        <v>9</v>
      </c>
    </row>
    <row r="114" spans="1:5" x14ac:dyDescent="0.25">
      <c r="A114" t="s">
        <v>2459</v>
      </c>
      <c r="E114" t="s">
        <v>2460</v>
      </c>
    </row>
    <row r="115" spans="1:5" x14ac:dyDescent="0.25">
      <c r="A115" t="s">
        <v>16</v>
      </c>
      <c r="E115" t="s">
        <v>28</v>
      </c>
    </row>
    <row r="116" spans="1:5" x14ac:dyDescent="0.25">
      <c r="A116" t="s">
        <v>2461</v>
      </c>
      <c r="E116" t="s">
        <v>2462</v>
      </c>
    </row>
    <row r="117" spans="1:5" x14ac:dyDescent="0.25">
      <c r="A117" t="s">
        <v>18</v>
      </c>
      <c r="E117" t="s">
        <v>30</v>
      </c>
    </row>
    <row r="118" spans="1:5" x14ac:dyDescent="0.25">
      <c r="A118" t="s">
        <v>19</v>
      </c>
      <c r="E118" t="s">
        <v>31</v>
      </c>
    </row>
    <row r="119" spans="1:5" x14ac:dyDescent="0.25">
      <c r="A119" t="s">
        <v>20</v>
      </c>
      <c r="E119" t="s">
        <v>32</v>
      </c>
    </row>
    <row r="120" spans="1:5" x14ac:dyDescent="0.25">
      <c r="A120" t="s">
        <v>2463</v>
      </c>
      <c r="E120" t="s">
        <v>2464</v>
      </c>
    </row>
    <row r="121" spans="1:5" x14ac:dyDescent="0.25">
      <c r="A121" t="s">
        <v>22</v>
      </c>
      <c r="E121" t="s">
        <v>34</v>
      </c>
    </row>
    <row r="122" spans="1:5" x14ac:dyDescent="0.25">
      <c r="A122" t="s">
        <v>2465</v>
      </c>
      <c r="E122" t="s">
        <v>2466</v>
      </c>
    </row>
    <row r="123" spans="1:5" x14ac:dyDescent="0.25">
      <c r="A123" t="s">
        <v>24</v>
      </c>
      <c r="E123" t="s">
        <v>36</v>
      </c>
    </row>
    <row r="124" spans="1:5" x14ac:dyDescent="0.25">
      <c r="A124" t="s">
        <v>25</v>
      </c>
      <c r="E124" t="s">
        <v>37</v>
      </c>
    </row>
    <row r="125" spans="1:5" x14ac:dyDescent="0.25">
      <c r="A125" t="s">
        <v>26</v>
      </c>
      <c r="E125" t="s">
        <v>38</v>
      </c>
    </row>
    <row r="127" spans="1:5" x14ac:dyDescent="0.25">
      <c r="A127" t="s">
        <v>8</v>
      </c>
      <c r="E127" t="s">
        <v>14</v>
      </c>
    </row>
    <row r="128" spans="1:5" x14ac:dyDescent="0.25">
      <c r="A128" t="s">
        <v>9</v>
      </c>
      <c r="E128" t="s">
        <v>15</v>
      </c>
    </row>
    <row r="129" spans="1:5" x14ac:dyDescent="0.25">
      <c r="A129" t="s">
        <v>2467</v>
      </c>
      <c r="E129" t="s">
        <v>2468</v>
      </c>
    </row>
    <row r="130" spans="1:5" x14ac:dyDescent="0.25">
      <c r="A130" t="s">
        <v>28</v>
      </c>
      <c r="E130" t="s">
        <v>16</v>
      </c>
    </row>
    <row r="131" spans="1:5" x14ac:dyDescent="0.25">
      <c r="A131" t="s">
        <v>2469</v>
      </c>
      <c r="E131" t="s">
        <v>2470</v>
      </c>
    </row>
    <row r="132" spans="1:5" x14ac:dyDescent="0.25">
      <c r="A132" t="s">
        <v>30</v>
      </c>
      <c r="E132" t="s">
        <v>18</v>
      </c>
    </row>
    <row r="133" spans="1:5" x14ac:dyDescent="0.25">
      <c r="A133" t="s">
        <v>31</v>
      </c>
      <c r="E133" t="s">
        <v>19</v>
      </c>
    </row>
    <row r="134" spans="1:5" x14ac:dyDescent="0.25">
      <c r="A134" t="s">
        <v>32</v>
      </c>
      <c r="E134" t="s">
        <v>20</v>
      </c>
    </row>
    <row r="135" spans="1:5" x14ac:dyDescent="0.25">
      <c r="A135" t="s">
        <v>2471</v>
      </c>
      <c r="E135" t="s">
        <v>2472</v>
      </c>
    </row>
    <row r="136" spans="1:5" x14ac:dyDescent="0.25">
      <c r="A136" t="s">
        <v>34</v>
      </c>
      <c r="E136" t="s">
        <v>22</v>
      </c>
    </row>
    <row r="137" spans="1:5" x14ac:dyDescent="0.25">
      <c r="A137" t="s">
        <v>2473</v>
      </c>
      <c r="E137" t="s">
        <v>2474</v>
      </c>
    </row>
    <row r="138" spans="1:5" x14ac:dyDescent="0.25">
      <c r="A138" t="s">
        <v>36</v>
      </c>
      <c r="E138" t="s">
        <v>24</v>
      </c>
    </row>
    <row r="139" spans="1:5" x14ac:dyDescent="0.25">
      <c r="A139" t="s">
        <v>37</v>
      </c>
      <c r="E139" t="s">
        <v>25</v>
      </c>
    </row>
    <row r="140" spans="1:5" x14ac:dyDescent="0.25">
      <c r="A140" t="s">
        <v>38</v>
      </c>
      <c r="E140" t="s">
        <v>26</v>
      </c>
    </row>
    <row r="142" spans="1:5" x14ac:dyDescent="0.25">
      <c r="A142" t="s">
        <v>14</v>
      </c>
      <c r="E142" t="s">
        <v>8</v>
      </c>
    </row>
    <row r="143" spans="1:5" x14ac:dyDescent="0.25">
      <c r="A143" t="s">
        <v>15</v>
      </c>
      <c r="E143" t="s">
        <v>9</v>
      </c>
    </row>
    <row r="144" spans="1:5" x14ac:dyDescent="0.25">
      <c r="A144" t="s">
        <v>2475</v>
      </c>
      <c r="E144" t="s">
        <v>2476</v>
      </c>
    </row>
    <row r="145" spans="1:5" x14ac:dyDescent="0.25">
      <c r="A145" t="s">
        <v>16</v>
      </c>
      <c r="E145" t="s">
        <v>28</v>
      </c>
    </row>
    <row r="146" spans="1:5" x14ac:dyDescent="0.25">
      <c r="A146" t="s">
        <v>2477</v>
      </c>
      <c r="E146" t="s">
        <v>1968</v>
      </c>
    </row>
    <row r="147" spans="1:5" x14ac:dyDescent="0.25">
      <c r="A147" t="s">
        <v>18</v>
      </c>
      <c r="E147" t="s">
        <v>30</v>
      </c>
    </row>
    <row r="148" spans="1:5" x14ac:dyDescent="0.25">
      <c r="A148" t="s">
        <v>19</v>
      </c>
      <c r="E148" t="s">
        <v>31</v>
      </c>
    </row>
    <row r="149" spans="1:5" x14ac:dyDescent="0.25">
      <c r="A149" t="s">
        <v>20</v>
      </c>
      <c r="E149" t="s">
        <v>32</v>
      </c>
    </row>
    <row r="150" spans="1:5" x14ac:dyDescent="0.25">
      <c r="A150" t="s">
        <v>2478</v>
      </c>
      <c r="E150" t="s">
        <v>2479</v>
      </c>
    </row>
    <row r="151" spans="1:5" x14ac:dyDescent="0.25">
      <c r="A151" t="s">
        <v>22</v>
      </c>
      <c r="E151" t="s">
        <v>34</v>
      </c>
    </row>
    <row r="152" spans="1:5" x14ac:dyDescent="0.25">
      <c r="A152" t="s">
        <v>2480</v>
      </c>
      <c r="E152" t="s">
        <v>2481</v>
      </c>
    </row>
    <row r="153" spans="1:5" x14ac:dyDescent="0.25">
      <c r="A153" t="s">
        <v>24</v>
      </c>
      <c r="E153" t="s">
        <v>36</v>
      </c>
    </row>
    <row r="154" spans="1:5" x14ac:dyDescent="0.25">
      <c r="A154" t="s">
        <v>25</v>
      </c>
      <c r="E154" t="s">
        <v>37</v>
      </c>
    </row>
    <row r="155" spans="1:5" x14ac:dyDescent="0.25">
      <c r="A155" t="s">
        <v>26</v>
      </c>
      <c r="E155" t="s">
        <v>38</v>
      </c>
    </row>
    <row r="157" spans="1:5" x14ac:dyDescent="0.25">
      <c r="A157" t="s">
        <v>8</v>
      </c>
      <c r="E157" t="s">
        <v>14</v>
      </c>
    </row>
    <row r="158" spans="1:5" x14ac:dyDescent="0.25">
      <c r="A158" t="s">
        <v>9</v>
      </c>
      <c r="E158" t="s">
        <v>15</v>
      </c>
    </row>
    <row r="159" spans="1:5" x14ac:dyDescent="0.25">
      <c r="A159" t="s">
        <v>2482</v>
      </c>
      <c r="E159" t="s">
        <v>2483</v>
      </c>
    </row>
    <row r="160" spans="1:5" x14ac:dyDescent="0.25">
      <c r="A160" t="s">
        <v>28</v>
      </c>
      <c r="E160" t="s">
        <v>16</v>
      </c>
    </row>
    <row r="161" spans="1:5" x14ac:dyDescent="0.25">
      <c r="A161" t="s">
        <v>2484</v>
      </c>
      <c r="E161" t="s">
        <v>2485</v>
      </c>
    </row>
    <row r="162" spans="1:5" x14ac:dyDescent="0.25">
      <c r="A162" t="s">
        <v>30</v>
      </c>
      <c r="E162" t="s">
        <v>18</v>
      </c>
    </row>
    <row r="163" spans="1:5" x14ac:dyDescent="0.25">
      <c r="A163" t="s">
        <v>31</v>
      </c>
      <c r="E163" t="s">
        <v>19</v>
      </c>
    </row>
    <row r="164" spans="1:5" x14ac:dyDescent="0.25">
      <c r="A164" t="s">
        <v>32</v>
      </c>
      <c r="E164" t="s">
        <v>20</v>
      </c>
    </row>
    <row r="165" spans="1:5" x14ac:dyDescent="0.25">
      <c r="A165" t="s">
        <v>2486</v>
      </c>
      <c r="E165" t="s">
        <v>2487</v>
      </c>
    </row>
    <row r="166" spans="1:5" x14ac:dyDescent="0.25">
      <c r="A166" t="s">
        <v>34</v>
      </c>
      <c r="E166" t="s">
        <v>22</v>
      </c>
    </row>
    <row r="167" spans="1:5" x14ac:dyDescent="0.25">
      <c r="A167" t="s">
        <v>2488</v>
      </c>
      <c r="E167" t="s">
        <v>2489</v>
      </c>
    </row>
    <row r="168" spans="1:5" x14ac:dyDescent="0.25">
      <c r="A168" t="s">
        <v>36</v>
      </c>
      <c r="E168" t="s">
        <v>24</v>
      </c>
    </row>
    <row r="169" spans="1:5" x14ac:dyDescent="0.25">
      <c r="A169" t="s">
        <v>37</v>
      </c>
      <c r="E169" t="s">
        <v>25</v>
      </c>
    </row>
    <row r="170" spans="1:5" x14ac:dyDescent="0.25">
      <c r="A170" t="s">
        <v>38</v>
      </c>
      <c r="E170" t="s">
        <v>26</v>
      </c>
    </row>
    <row r="172" spans="1:5" x14ac:dyDescent="0.25">
      <c r="A172" t="s">
        <v>14</v>
      </c>
      <c r="E172" t="s">
        <v>8</v>
      </c>
    </row>
    <row r="173" spans="1:5" x14ac:dyDescent="0.25">
      <c r="A173" t="s">
        <v>15</v>
      </c>
      <c r="E173" t="s">
        <v>9</v>
      </c>
    </row>
    <row r="174" spans="1:5" x14ac:dyDescent="0.25">
      <c r="A174" t="s">
        <v>2490</v>
      </c>
      <c r="E174" t="s">
        <v>2491</v>
      </c>
    </row>
    <row r="175" spans="1:5" x14ac:dyDescent="0.25">
      <c r="A175" t="s">
        <v>16</v>
      </c>
      <c r="E175" t="s">
        <v>28</v>
      </c>
    </row>
    <row r="176" spans="1:5" x14ac:dyDescent="0.25">
      <c r="A176" t="s">
        <v>2492</v>
      </c>
      <c r="E176" t="s">
        <v>2493</v>
      </c>
    </row>
    <row r="177" spans="1:5" x14ac:dyDescent="0.25">
      <c r="A177" t="s">
        <v>18</v>
      </c>
      <c r="E177" t="s">
        <v>30</v>
      </c>
    </row>
    <row r="178" spans="1:5" x14ac:dyDescent="0.25">
      <c r="A178" t="s">
        <v>19</v>
      </c>
      <c r="E178" t="s">
        <v>31</v>
      </c>
    </row>
    <row r="179" spans="1:5" x14ac:dyDescent="0.25">
      <c r="A179" t="s">
        <v>20</v>
      </c>
      <c r="E179" t="s">
        <v>32</v>
      </c>
    </row>
    <row r="180" spans="1:5" x14ac:dyDescent="0.25">
      <c r="A180" t="s">
        <v>2494</v>
      </c>
      <c r="E180" t="s">
        <v>2495</v>
      </c>
    </row>
    <row r="181" spans="1:5" x14ac:dyDescent="0.25">
      <c r="A181" t="s">
        <v>22</v>
      </c>
      <c r="E181" t="s">
        <v>34</v>
      </c>
    </row>
    <row r="182" spans="1:5" x14ac:dyDescent="0.25">
      <c r="A182" t="s">
        <v>2496</v>
      </c>
      <c r="E182" t="s">
        <v>2497</v>
      </c>
    </row>
    <row r="183" spans="1:5" x14ac:dyDescent="0.25">
      <c r="A183" t="s">
        <v>24</v>
      </c>
      <c r="E183" t="s">
        <v>36</v>
      </c>
    </row>
    <row r="184" spans="1:5" x14ac:dyDescent="0.25">
      <c r="A184" t="s">
        <v>25</v>
      </c>
      <c r="E184" t="s">
        <v>37</v>
      </c>
    </row>
    <row r="185" spans="1:5" x14ac:dyDescent="0.25">
      <c r="A185" t="s">
        <v>26</v>
      </c>
      <c r="E185" t="s">
        <v>38</v>
      </c>
    </row>
    <row r="187" spans="1:5" x14ac:dyDescent="0.25">
      <c r="A187" t="s">
        <v>8</v>
      </c>
      <c r="E187" t="s">
        <v>14</v>
      </c>
    </row>
    <row r="188" spans="1:5" x14ac:dyDescent="0.25">
      <c r="A188" t="s">
        <v>9</v>
      </c>
      <c r="E188" t="s">
        <v>15</v>
      </c>
    </row>
    <row r="189" spans="1:5" x14ac:dyDescent="0.25">
      <c r="A189" t="s">
        <v>2498</v>
      </c>
      <c r="E189" t="s">
        <v>2499</v>
      </c>
    </row>
    <row r="190" spans="1:5" x14ac:dyDescent="0.25">
      <c r="A190" t="s">
        <v>28</v>
      </c>
      <c r="E190" t="s">
        <v>16</v>
      </c>
    </row>
    <row r="191" spans="1:5" x14ac:dyDescent="0.25">
      <c r="A191" t="s">
        <v>2500</v>
      </c>
      <c r="E191" t="s">
        <v>2010</v>
      </c>
    </row>
    <row r="192" spans="1:5" x14ac:dyDescent="0.25">
      <c r="A192" t="s">
        <v>30</v>
      </c>
      <c r="E192" t="s">
        <v>18</v>
      </c>
    </row>
    <row r="193" spans="1:5" x14ac:dyDescent="0.25">
      <c r="A193" t="s">
        <v>31</v>
      </c>
      <c r="E193" t="s">
        <v>19</v>
      </c>
    </row>
    <row r="194" spans="1:5" x14ac:dyDescent="0.25">
      <c r="A194" t="s">
        <v>32</v>
      </c>
      <c r="E194" t="s">
        <v>20</v>
      </c>
    </row>
    <row r="195" spans="1:5" x14ac:dyDescent="0.25">
      <c r="A195" t="s">
        <v>2501</v>
      </c>
      <c r="E195" t="s">
        <v>2502</v>
      </c>
    </row>
    <row r="196" spans="1:5" x14ac:dyDescent="0.25">
      <c r="A196" t="s">
        <v>34</v>
      </c>
      <c r="E196" t="s">
        <v>22</v>
      </c>
    </row>
    <row r="197" spans="1:5" x14ac:dyDescent="0.25">
      <c r="A197" t="s">
        <v>2503</v>
      </c>
      <c r="E197" t="s">
        <v>2504</v>
      </c>
    </row>
    <row r="198" spans="1:5" x14ac:dyDescent="0.25">
      <c r="A198" t="s">
        <v>36</v>
      </c>
      <c r="E198" t="s">
        <v>24</v>
      </c>
    </row>
    <row r="199" spans="1:5" x14ac:dyDescent="0.25">
      <c r="A199" t="s">
        <v>37</v>
      </c>
      <c r="E199" t="s">
        <v>25</v>
      </c>
    </row>
    <row r="200" spans="1:5" x14ac:dyDescent="0.25">
      <c r="A200" t="s">
        <v>38</v>
      </c>
      <c r="E200" t="s">
        <v>26</v>
      </c>
    </row>
    <row r="202" spans="1:5" x14ac:dyDescent="0.25">
      <c r="A202" t="s">
        <v>14</v>
      </c>
      <c r="E202" t="s">
        <v>8</v>
      </c>
    </row>
    <row r="203" spans="1:5" x14ac:dyDescent="0.25">
      <c r="A203" t="s">
        <v>15</v>
      </c>
      <c r="E203" t="s">
        <v>9</v>
      </c>
    </row>
    <row r="204" spans="1:5" x14ac:dyDescent="0.25">
      <c r="A204" t="s">
        <v>2505</v>
      </c>
      <c r="E204" t="s">
        <v>2506</v>
      </c>
    </row>
    <row r="205" spans="1:5" x14ac:dyDescent="0.25">
      <c r="A205" t="s">
        <v>16</v>
      </c>
      <c r="E205" t="s">
        <v>28</v>
      </c>
    </row>
    <row r="206" spans="1:5" x14ac:dyDescent="0.25">
      <c r="A206" t="s">
        <v>2507</v>
      </c>
      <c r="E206" t="s">
        <v>2508</v>
      </c>
    </row>
    <row r="207" spans="1:5" x14ac:dyDescent="0.25">
      <c r="A207" t="s">
        <v>18</v>
      </c>
      <c r="E207" t="s">
        <v>30</v>
      </c>
    </row>
    <row r="208" spans="1:5" x14ac:dyDescent="0.25">
      <c r="A208" t="s">
        <v>19</v>
      </c>
      <c r="E208" t="s">
        <v>31</v>
      </c>
    </row>
    <row r="209" spans="1:5" x14ac:dyDescent="0.25">
      <c r="A209" t="s">
        <v>20</v>
      </c>
      <c r="E209" t="s">
        <v>32</v>
      </c>
    </row>
    <row r="210" spans="1:5" x14ac:dyDescent="0.25">
      <c r="A210" t="s">
        <v>2509</v>
      </c>
      <c r="E210" t="s">
        <v>2510</v>
      </c>
    </row>
    <row r="211" spans="1:5" x14ac:dyDescent="0.25">
      <c r="A211" t="s">
        <v>22</v>
      </c>
      <c r="E211" t="s">
        <v>34</v>
      </c>
    </row>
    <row r="212" spans="1:5" x14ac:dyDescent="0.25">
      <c r="A212" t="s">
        <v>2511</v>
      </c>
      <c r="E212" t="s">
        <v>2512</v>
      </c>
    </row>
    <row r="213" spans="1:5" x14ac:dyDescent="0.25">
      <c r="A213" t="s">
        <v>24</v>
      </c>
      <c r="E213" t="s">
        <v>36</v>
      </c>
    </row>
    <row r="214" spans="1:5" x14ac:dyDescent="0.25">
      <c r="A214" t="s">
        <v>25</v>
      </c>
      <c r="E214" t="s">
        <v>37</v>
      </c>
    </row>
    <row r="215" spans="1:5" x14ac:dyDescent="0.25">
      <c r="A215" t="s">
        <v>26</v>
      </c>
      <c r="E215" t="s">
        <v>38</v>
      </c>
    </row>
    <row r="217" spans="1:5" x14ac:dyDescent="0.25">
      <c r="A217" t="s">
        <v>8</v>
      </c>
      <c r="E217" t="s">
        <v>14</v>
      </c>
    </row>
    <row r="218" spans="1:5" x14ac:dyDescent="0.25">
      <c r="A218" t="s">
        <v>9</v>
      </c>
      <c r="E218" t="s">
        <v>15</v>
      </c>
    </row>
    <row r="219" spans="1:5" x14ac:dyDescent="0.25">
      <c r="A219" t="s">
        <v>2513</v>
      </c>
      <c r="E219" t="s">
        <v>2514</v>
      </c>
    </row>
    <row r="220" spans="1:5" x14ac:dyDescent="0.25">
      <c r="A220" t="s">
        <v>28</v>
      </c>
      <c r="E220" t="s">
        <v>16</v>
      </c>
    </row>
    <row r="221" spans="1:5" x14ac:dyDescent="0.25">
      <c r="A221" t="s">
        <v>2515</v>
      </c>
      <c r="E221" t="s">
        <v>2516</v>
      </c>
    </row>
    <row r="222" spans="1:5" x14ac:dyDescent="0.25">
      <c r="A222" t="s">
        <v>30</v>
      </c>
      <c r="E222" t="s">
        <v>18</v>
      </c>
    </row>
    <row r="223" spans="1:5" x14ac:dyDescent="0.25">
      <c r="A223" t="s">
        <v>31</v>
      </c>
      <c r="E223" t="s">
        <v>19</v>
      </c>
    </row>
    <row r="224" spans="1:5" x14ac:dyDescent="0.25">
      <c r="A224" t="s">
        <v>32</v>
      </c>
      <c r="E224" t="s">
        <v>20</v>
      </c>
    </row>
    <row r="225" spans="1:5" x14ac:dyDescent="0.25">
      <c r="A225" t="s">
        <v>2517</v>
      </c>
      <c r="E225" t="s">
        <v>2518</v>
      </c>
    </row>
    <row r="226" spans="1:5" x14ac:dyDescent="0.25">
      <c r="A226" t="s">
        <v>34</v>
      </c>
      <c r="E226" t="s">
        <v>22</v>
      </c>
    </row>
    <row r="227" spans="1:5" x14ac:dyDescent="0.25">
      <c r="A227" t="s">
        <v>2519</v>
      </c>
      <c r="E227" t="s">
        <v>2520</v>
      </c>
    </row>
    <row r="228" spans="1:5" x14ac:dyDescent="0.25">
      <c r="A228" t="s">
        <v>36</v>
      </c>
      <c r="E228" t="s">
        <v>24</v>
      </c>
    </row>
    <row r="229" spans="1:5" x14ac:dyDescent="0.25">
      <c r="A229" t="s">
        <v>37</v>
      </c>
      <c r="E229" t="s">
        <v>25</v>
      </c>
    </row>
    <row r="230" spans="1:5" x14ac:dyDescent="0.25">
      <c r="A230" t="s">
        <v>38</v>
      </c>
      <c r="E230" t="s">
        <v>26</v>
      </c>
    </row>
    <row r="232" spans="1:5" x14ac:dyDescent="0.25">
      <c r="A232" t="s">
        <v>14</v>
      </c>
      <c r="E232" t="s">
        <v>8</v>
      </c>
    </row>
    <row r="233" spans="1:5" x14ac:dyDescent="0.25">
      <c r="A233" t="s">
        <v>15</v>
      </c>
      <c r="E233" t="s">
        <v>9</v>
      </c>
    </row>
    <row r="234" spans="1:5" x14ac:dyDescent="0.25">
      <c r="A234" t="s">
        <v>2521</v>
      </c>
      <c r="E234" t="s">
        <v>2522</v>
      </c>
    </row>
    <row r="235" spans="1:5" x14ac:dyDescent="0.25">
      <c r="A235" t="s">
        <v>16</v>
      </c>
      <c r="E235" t="s">
        <v>28</v>
      </c>
    </row>
    <row r="236" spans="1:5" x14ac:dyDescent="0.25">
      <c r="A236" t="s">
        <v>2507</v>
      </c>
      <c r="E236" t="s">
        <v>2523</v>
      </c>
    </row>
    <row r="237" spans="1:5" x14ac:dyDescent="0.25">
      <c r="A237" t="s">
        <v>18</v>
      </c>
      <c r="E237" t="s">
        <v>30</v>
      </c>
    </row>
    <row r="238" spans="1:5" x14ac:dyDescent="0.25">
      <c r="A238" t="s">
        <v>19</v>
      </c>
      <c r="E238" t="s">
        <v>31</v>
      </c>
    </row>
    <row r="239" spans="1:5" x14ac:dyDescent="0.25">
      <c r="A239" t="s">
        <v>20</v>
      </c>
      <c r="E239" t="s">
        <v>32</v>
      </c>
    </row>
    <row r="240" spans="1:5" x14ac:dyDescent="0.25">
      <c r="A240" t="s">
        <v>1608</v>
      </c>
      <c r="E240" t="s">
        <v>2524</v>
      </c>
    </row>
    <row r="241" spans="1:5" x14ac:dyDescent="0.25">
      <c r="A241" t="s">
        <v>22</v>
      </c>
      <c r="E241" t="s">
        <v>34</v>
      </c>
    </row>
    <row r="242" spans="1:5" x14ac:dyDescent="0.25">
      <c r="A242" t="s">
        <v>2525</v>
      </c>
      <c r="E242" t="s">
        <v>2526</v>
      </c>
    </row>
    <row r="243" spans="1:5" x14ac:dyDescent="0.25">
      <c r="A243" t="s">
        <v>24</v>
      </c>
      <c r="E243" t="s">
        <v>36</v>
      </c>
    </row>
    <row r="244" spans="1:5" x14ac:dyDescent="0.25">
      <c r="A244" t="s">
        <v>25</v>
      </c>
      <c r="E244" t="s">
        <v>37</v>
      </c>
    </row>
    <row r="245" spans="1:5" x14ac:dyDescent="0.25">
      <c r="A245" t="s">
        <v>26</v>
      </c>
      <c r="E245" t="s">
        <v>38</v>
      </c>
    </row>
    <row r="247" spans="1:5" x14ac:dyDescent="0.25">
      <c r="A247" t="s">
        <v>8</v>
      </c>
      <c r="E247" t="s">
        <v>14</v>
      </c>
    </row>
    <row r="248" spans="1:5" x14ac:dyDescent="0.25">
      <c r="A248" t="s">
        <v>9</v>
      </c>
      <c r="E248" t="s">
        <v>15</v>
      </c>
    </row>
    <row r="249" spans="1:5" x14ac:dyDescent="0.25">
      <c r="A249" t="s">
        <v>2527</v>
      </c>
      <c r="E249" t="s">
        <v>2528</v>
      </c>
    </row>
    <row r="250" spans="1:5" x14ac:dyDescent="0.25">
      <c r="A250" t="s">
        <v>28</v>
      </c>
      <c r="E250" t="s">
        <v>16</v>
      </c>
    </row>
    <row r="251" spans="1:5" x14ac:dyDescent="0.25">
      <c r="A251" t="s">
        <v>2529</v>
      </c>
      <c r="E251" t="s">
        <v>2530</v>
      </c>
    </row>
    <row r="252" spans="1:5" x14ac:dyDescent="0.25">
      <c r="A252" t="s">
        <v>30</v>
      </c>
      <c r="E252" t="s">
        <v>18</v>
      </c>
    </row>
    <row r="253" spans="1:5" x14ac:dyDescent="0.25">
      <c r="A253" t="s">
        <v>31</v>
      </c>
      <c r="E253" t="s">
        <v>19</v>
      </c>
    </row>
    <row r="254" spans="1:5" x14ac:dyDescent="0.25">
      <c r="A254" t="s">
        <v>32</v>
      </c>
      <c r="E254" t="s">
        <v>20</v>
      </c>
    </row>
    <row r="255" spans="1:5" x14ac:dyDescent="0.25">
      <c r="A255" t="s">
        <v>2531</v>
      </c>
      <c r="E255" t="s">
        <v>2532</v>
      </c>
    </row>
    <row r="256" spans="1:5" x14ac:dyDescent="0.25">
      <c r="A256" t="s">
        <v>34</v>
      </c>
      <c r="E256" t="s">
        <v>22</v>
      </c>
    </row>
    <row r="257" spans="1:5" x14ac:dyDescent="0.25">
      <c r="A257" t="s">
        <v>2533</v>
      </c>
      <c r="E257" t="s">
        <v>2534</v>
      </c>
    </row>
    <row r="258" spans="1:5" x14ac:dyDescent="0.25">
      <c r="A258" t="s">
        <v>36</v>
      </c>
      <c r="E258" t="s">
        <v>24</v>
      </c>
    </row>
    <row r="259" spans="1:5" x14ac:dyDescent="0.25">
      <c r="A259" t="s">
        <v>37</v>
      </c>
      <c r="E259" t="s">
        <v>25</v>
      </c>
    </row>
    <row r="260" spans="1:5" x14ac:dyDescent="0.25">
      <c r="A260" t="s">
        <v>38</v>
      </c>
      <c r="E260" t="s">
        <v>26</v>
      </c>
    </row>
    <row r="262" spans="1:5" x14ac:dyDescent="0.25">
      <c r="A262" t="s">
        <v>14</v>
      </c>
      <c r="E262" t="s">
        <v>8</v>
      </c>
    </row>
    <row r="263" spans="1:5" x14ac:dyDescent="0.25">
      <c r="A263" t="s">
        <v>15</v>
      </c>
      <c r="E263" t="s">
        <v>9</v>
      </c>
    </row>
    <row r="264" spans="1:5" x14ac:dyDescent="0.25">
      <c r="A264" t="s">
        <v>2535</v>
      </c>
      <c r="E264" t="s">
        <v>2536</v>
      </c>
    </row>
    <row r="265" spans="1:5" x14ac:dyDescent="0.25">
      <c r="A265" t="s">
        <v>16</v>
      </c>
      <c r="E265" t="s">
        <v>28</v>
      </c>
    </row>
    <row r="266" spans="1:5" x14ac:dyDescent="0.25">
      <c r="A266" t="s">
        <v>2537</v>
      </c>
      <c r="E266" t="s">
        <v>2538</v>
      </c>
    </row>
    <row r="267" spans="1:5" x14ac:dyDescent="0.25">
      <c r="A267" t="s">
        <v>18</v>
      </c>
      <c r="E267" t="s">
        <v>30</v>
      </c>
    </row>
    <row r="268" spans="1:5" x14ac:dyDescent="0.25">
      <c r="A268" t="s">
        <v>19</v>
      </c>
      <c r="E268" t="s">
        <v>31</v>
      </c>
    </row>
    <row r="269" spans="1:5" x14ac:dyDescent="0.25">
      <c r="A269" t="s">
        <v>20</v>
      </c>
      <c r="E269" t="s">
        <v>32</v>
      </c>
    </row>
    <row r="270" spans="1:5" x14ac:dyDescent="0.25">
      <c r="A270" t="s">
        <v>2539</v>
      </c>
      <c r="E270" t="s">
        <v>2540</v>
      </c>
    </row>
    <row r="271" spans="1:5" x14ac:dyDescent="0.25">
      <c r="A271" t="s">
        <v>22</v>
      </c>
      <c r="E271" t="s">
        <v>34</v>
      </c>
    </row>
    <row r="272" spans="1:5" x14ac:dyDescent="0.25">
      <c r="A272" t="s">
        <v>2541</v>
      </c>
      <c r="E272" t="s">
        <v>2542</v>
      </c>
    </row>
    <row r="273" spans="1:5" x14ac:dyDescent="0.25">
      <c r="A273" t="s">
        <v>24</v>
      </c>
      <c r="E273" t="s">
        <v>36</v>
      </c>
    </row>
    <row r="274" spans="1:5" x14ac:dyDescent="0.25">
      <c r="A274" t="s">
        <v>25</v>
      </c>
      <c r="E274" t="s">
        <v>37</v>
      </c>
    </row>
    <row r="275" spans="1:5" x14ac:dyDescent="0.25">
      <c r="A275" t="s">
        <v>26</v>
      </c>
      <c r="E275" t="s">
        <v>38</v>
      </c>
    </row>
    <row r="277" spans="1:5" x14ac:dyDescent="0.25">
      <c r="A277" t="s">
        <v>8</v>
      </c>
      <c r="E277" t="s">
        <v>14</v>
      </c>
    </row>
    <row r="278" spans="1:5" x14ac:dyDescent="0.25">
      <c r="A278" t="s">
        <v>9</v>
      </c>
      <c r="E278" t="s">
        <v>15</v>
      </c>
    </row>
    <row r="279" spans="1:5" x14ac:dyDescent="0.25">
      <c r="A279" t="s">
        <v>2543</v>
      </c>
      <c r="E279" t="s">
        <v>2544</v>
      </c>
    </row>
    <row r="280" spans="1:5" x14ac:dyDescent="0.25">
      <c r="A280" t="s">
        <v>28</v>
      </c>
      <c r="E280" t="s">
        <v>16</v>
      </c>
    </row>
    <row r="281" spans="1:5" x14ac:dyDescent="0.25">
      <c r="A281" t="s">
        <v>2545</v>
      </c>
      <c r="E281" t="s">
        <v>2546</v>
      </c>
    </row>
    <row r="282" spans="1:5" x14ac:dyDescent="0.25">
      <c r="A282" t="s">
        <v>30</v>
      </c>
      <c r="E282" t="s">
        <v>18</v>
      </c>
    </row>
    <row r="283" spans="1:5" x14ac:dyDescent="0.25">
      <c r="A283" t="s">
        <v>31</v>
      </c>
      <c r="E283" t="s">
        <v>19</v>
      </c>
    </row>
    <row r="284" spans="1:5" x14ac:dyDescent="0.25">
      <c r="A284" t="s">
        <v>32</v>
      </c>
      <c r="E284" t="s">
        <v>20</v>
      </c>
    </row>
    <row r="285" spans="1:5" x14ac:dyDescent="0.25">
      <c r="A285" t="s">
        <v>2547</v>
      </c>
      <c r="E285" t="s">
        <v>2548</v>
      </c>
    </row>
    <row r="286" spans="1:5" x14ac:dyDescent="0.25">
      <c r="A286" t="s">
        <v>34</v>
      </c>
      <c r="E286" t="s">
        <v>22</v>
      </c>
    </row>
    <row r="287" spans="1:5" x14ac:dyDescent="0.25">
      <c r="A287" t="s">
        <v>2549</v>
      </c>
      <c r="E287" t="s">
        <v>2550</v>
      </c>
    </row>
    <row r="288" spans="1:5" x14ac:dyDescent="0.25">
      <c r="A288" t="s">
        <v>36</v>
      </c>
      <c r="E288" t="s">
        <v>24</v>
      </c>
    </row>
    <row r="289" spans="1:5" x14ac:dyDescent="0.25">
      <c r="A289" t="s">
        <v>37</v>
      </c>
      <c r="E289" t="s">
        <v>25</v>
      </c>
    </row>
    <row r="290" spans="1:5" x14ac:dyDescent="0.25">
      <c r="A290" t="s">
        <v>38</v>
      </c>
      <c r="E290" t="s">
        <v>26</v>
      </c>
    </row>
    <row r="292" spans="1:5" x14ac:dyDescent="0.25">
      <c r="A292" t="s">
        <v>14</v>
      </c>
      <c r="E292" t="s">
        <v>8</v>
      </c>
    </row>
    <row r="293" spans="1:5" x14ac:dyDescent="0.25">
      <c r="A293" t="s">
        <v>15</v>
      </c>
      <c r="E293" t="s">
        <v>9</v>
      </c>
    </row>
    <row r="294" spans="1:5" x14ac:dyDescent="0.25">
      <c r="A294" t="s">
        <v>2551</v>
      </c>
      <c r="E294" t="s">
        <v>2552</v>
      </c>
    </row>
    <row r="295" spans="1:5" x14ac:dyDescent="0.25">
      <c r="A295" t="s">
        <v>16</v>
      </c>
      <c r="E295" t="s">
        <v>28</v>
      </c>
    </row>
    <row r="296" spans="1:5" x14ac:dyDescent="0.25">
      <c r="A296" t="s">
        <v>2553</v>
      </c>
      <c r="E296" t="s">
        <v>2554</v>
      </c>
    </row>
    <row r="297" spans="1:5" x14ac:dyDescent="0.25">
      <c r="A297" t="s">
        <v>18</v>
      </c>
      <c r="E297" t="s">
        <v>30</v>
      </c>
    </row>
    <row r="298" spans="1:5" x14ac:dyDescent="0.25">
      <c r="A298" t="s">
        <v>19</v>
      </c>
      <c r="E298" t="s">
        <v>31</v>
      </c>
    </row>
    <row r="299" spans="1:5" x14ac:dyDescent="0.25">
      <c r="A299" t="s">
        <v>20</v>
      </c>
      <c r="E299" t="s">
        <v>32</v>
      </c>
    </row>
    <row r="300" spans="1:5" x14ac:dyDescent="0.25">
      <c r="A300" t="s">
        <v>2555</v>
      </c>
      <c r="E300" t="s">
        <v>2556</v>
      </c>
    </row>
    <row r="301" spans="1:5" x14ac:dyDescent="0.25">
      <c r="A301" t="s">
        <v>22</v>
      </c>
      <c r="E301" t="s">
        <v>34</v>
      </c>
    </row>
    <row r="302" spans="1:5" x14ac:dyDescent="0.25">
      <c r="A302" t="s">
        <v>2557</v>
      </c>
      <c r="E302" t="s">
        <v>2558</v>
      </c>
    </row>
    <row r="303" spans="1:5" x14ac:dyDescent="0.25">
      <c r="A303" t="s">
        <v>24</v>
      </c>
      <c r="E303" t="s">
        <v>36</v>
      </c>
    </row>
    <row r="304" spans="1:5" x14ac:dyDescent="0.25">
      <c r="A304" t="s">
        <v>25</v>
      </c>
      <c r="E304" t="s">
        <v>37</v>
      </c>
    </row>
    <row r="305" spans="1:5" x14ac:dyDescent="0.25">
      <c r="A305" t="s">
        <v>26</v>
      </c>
      <c r="E305" t="s">
        <v>38</v>
      </c>
    </row>
    <row r="307" spans="1:5" x14ac:dyDescent="0.25">
      <c r="A307" t="s">
        <v>8</v>
      </c>
      <c r="E307" t="s">
        <v>14</v>
      </c>
    </row>
    <row r="308" spans="1:5" x14ac:dyDescent="0.25">
      <c r="A308" t="s">
        <v>9</v>
      </c>
      <c r="E308" t="s">
        <v>15</v>
      </c>
    </row>
    <row r="309" spans="1:5" x14ac:dyDescent="0.25">
      <c r="A309" t="s">
        <v>2559</v>
      </c>
      <c r="E309" t="s">
        <v>2560</v>
      </c>
    </row>
    <row r="310" spans="1:5" x14ac:dyDescent="0.25">
      <c r="A310" t="s">
        <v>28</v>
      </c>
      <c r="E310" t="s">
        <v>16</v>
      </c>
    </row>
    <row r="311" spans="1:5" x14ac:dyDescent="0.25">
      <c r="A311" t="s">
        <v>2561</v>
      </c>
      <c r="E311" t="s">
        <v>2562</v>
      </c>
    </row>
    <row r="312" spans="1:5" x14ac:dyDescent="0.25">
      <c r="A312" t="s">
        <v>30</v>
      </c>
      <c r="E312" t="s">
        <v>18</v>
      </c>
    </row>
    <row r="313" spans="1:5" x14ac:dyDescent="0.25">
      <c r="A313" t="s">
        <v>31</v>
      </c>
      <c r="E313" t="s">
        <v>19</v>
      </c>
    </row>
    <row r="314" spans="1:5" x14ac:dyDescent="0.25">
      <c r="A314" t="s">
        <v>32</v>
      </c>
      <c r="E314" t="s">
        <v>20</v>
      </c>
    </row>
    <row r="315" spans="1:5" x14ac:dyDescent="0.25">
      <c r="A315" t="s">
        <v>2563</v>
      </c>
      <c r="E315" t="s">
        <v>2564</v>
      </c>
    </row>
    <row r="316" spans="1:5" x14ac:dyDescent="0.25">
      <c r="A316" t="s">
        <v>34</v>
      </c>
      <c r="E316" t="s">
        <v>22</v>
      </c>
    </row>
    <row r="317" spans="1:5" x14ac:dyDescent="0.25">
      <c r="A317" t="s">
        <v>2565</v>
      </c>
      <c r="E317" t="s">
        <v>2566</v>
      </c>
    </row>
    <row r="318" spans="1:5" x14ac:dyDescent="0.25">
      <c r="A318" t="s">
        <v>36</v>
      </c>
      <c r="E318" t="s">
        <v>24</v>
      </c>
    </row>
    <row r="319" spans="1:5" x14ac:dyDescent="0.25">
      <c r="A319" t="s">
        <v>37</v>
      </c>
      <c r="E319" t="s">
        <v>25</v>
      </c>
    </row>
    <row r="320" spans="1:5" x14ac:dyDescent="0.25">
      <c r="A320" t="s">
        <v>38</v>
      </c>
      <c r="E320" t="s">
        <v>26</v>
      </c>
    </row>
    <row r="322" spans="1:5" x14ac:dyDescent="0.25">
      <c r="A322" t="s">
        <v>14</v>
      </c>
      <c r="E322" t="s">
        <v>8</v>
      </c>
    </row>
    <row r="323" spans="1:5" x14ac:dyDescent="0.25">
      <c r="A323" t="s">
        <v>15</v>
      </c>
      <c r="E323" t="s">
        <v>9</v>
      </c>
    </row>
    <row r="324" spans="1:5" x14ac:dyDescent="0.25">
      <c r="A324" t="s">
        <v>2567</v>
      </c>
      <c r="E324" t="s">
        <v>2568</v>
      </c>
    </row>
    <row r="325" spans="1:5" x14ac:dyDescent="0.25">
      <c r="A325" t="s">
        <v>16</v>
      </c>
      <c r="E325" t="s">
        <v>28</v>
      </c>
    </row>
    <row r="326" spans="1:5" x14ac:dyDescent="0.25">
      <c r="A326" t="s">
        <v>2569</v>
      </c>
      <c r="E326" t="s">
        <v>2570</v>
      </c>
    </row>
    <row r="327" spans="1:5" x14ac:dyDescent="0.25">
      <c r="A327" t="s">
        <v>18</v>
      </c>
      <c r="E327" t="s">
        <v>30</v>
      </c>
    </row>
    <row r="328" spans="1:5" x14ac:dyDescent="0.25">
      <c r="A328" t="s">
        <v>19</v>
      </c>
      <c r="E328" t="s">
        <v>31</v>
      </c>
    </row>
    <row r="329" spans="1:5" x14ac:dyDescent="0.25">
      <c r="A329" t="s">
        <v>20</v>
      </c>
      <c r="E329" t="s">
        <v>32</v>
      </c>
    </row>
    <row r="330" spans="1:5" x14ac:dyDescent="0.25">
      <c r="A330" t="s">
        <v>2571</v>
      </c>
      <c r="E330" t="s">
        <v>2572</v>
      </c>
    </row>
    <row r="331" spans="1:5" x14ac:dyDescent="0.25">
      <c r="A331" t="s">
        <v>22</v>
      </c>
      <c r="E331" t="s">
        <v>34</v>
      </c>
    </row>
    <row r="332" spans="1:5" x14ac:dyDescent="0.25">
      <c r="A332" t="s">
        <v>2573</v>
      </c>
      <c r="E332" t="s">
        <v>2574</v>
      </c>
    </row>
    <row r="333" spans="1:5" x14ac:dyDescent="0.25">
      <c r="A333" t="s">
        <v>24</v>
      </c>
      <c r="E333" t="s">
        <v>36</v>
      </c>
    </row>
    <row r="334" spans="1:5" x14ac:dyDescent="0.25">
      <c r="A334" t="s">
        <v>25</v>
      </c>
      <c r="E334" t="s">
        <v>37</v>
      </c>
    </row>
    <row r="335" spans="1:5" x14ac:dyDescent="0.25">
      <c r="A335" t="s">
        <v>26</v>
      </c>
      <c r="E335" t="s">
        <v>38</v>
      </c>
    </row>
    <row r="337" spans="1:5" x14ac:dyDescent="0.25">
      <c r="A337" t="s">
        <v>8</v>
      </c>
      <c r="E337" t="s">
        <v>14</v>
      </c>
    </row>
    <row r="338" spans="1:5" x14ac:dyDescent="0.25">
      <c r="A338" t="s">
        <v>9</v>
      </c>
      <c r="E338" t="s">
        <v>15</v>
      </c>
    </row>
    <row r="339" spans="1:5" x14ac:dyDescent="0.25">
      <c r="A339" t="s">
        <v>2575</v>
      </c>
      <c r="E339" t="s">
        <v>2576</v>
      </c>
    </row>
    <row r="340" spans="1:5" x14ac:dyDescent="0.25">
      <c r="A340" t="s">
        <v>28</v>
      </c>
      <c r="E340" t="s">
        <v>16</v>
      </c>
    </row>
    <row r="341" spans="1:5" x14ac:dyDescent="0.25">
      <c r="A341" t="s">
        <v>2577</v>
      </c>
      <c r="E341" t="s">
        <v>2578</v>
      </c>
    </row>
    <row r="342" spans="1:5" x14ac:dyDescent="0.25">
      <c r="A342" t="s">
        <v>30</v>
      </c>
      <c r="E342" t="s">
        <v>18</v>
      </c>
    </row>
    <row r="343" spans="1:5" x14ac:dyDescent="0.25">
      <c r="A343" t="s">
        <v>31</v>
      </c>
      <c r="E343" t="s">
        <v>19</v>
      </c>
    </row>
    <row r="344" spans="1:5" x14ac:dyDescent="0.25">
      <c r="A344" t="s">
        <v>32</v>
      </c>
      <c r="E344" t="s">
        <v>20</v>
      </c>
    </row>
    <row r="345" spans="1:5" x14ac:dyDescent="0.25">
      <c r="A345" t="s">
        <v>2579</v>
      </c>
      <c r="E345" t="s">
        <v>2580</v>
      </c>
    </row>
    <row r="346" spans="1:5" x14ac:dyDescent="0.25">
      <c r="A346" t="s">
        <v>34</v>
      </c>
      <c r="E346" t="s">
        <v>22</v>
      </c>
    </row>
    <row r="347" spans="1:5" x14ac:dyDescent="0.25">
      <c r="A347" t="s">
        <v>2581</v>
      </c>
      <c r="E347" t="s">
        <v>2582</v>
      </c>
    </row>
    <row r="348" spans="1:5" x14ac:dyDescent="0.25">
      <c r="A348" t="s">
        <v>36</v>
      </c>
      <c r="E348" t="s">
        <v>24</v>
      </c>
    </row>
    <row r="349" spans="1:5" x14ac:dyDescent="0.25">
      <c r="A349" t="s">
        <v>37</v>
      </c>
      <c r="E349" t="s">
        <v>25</v>
      </c>
    </row>
    <row r="350" spans="1:5" x14ac:dyDescent="0.25">
      <c r="A350" t="s">
        <v>38</v>
      </c>
      <c r="E350" t="s">
        <v>26</v>
      </c>
    </row>
    <row r="352" spans="1:5" x14ac:dyDescent="0.25">
      <c r="A352" t="s">
        <v>14</v>
      </c>
      <c r="E352" t="s">
        <v>8</v>
      </c>
    </row>
    <row r="353" spans="1:5" x14ac:dyDescent="0.25">
      <c r="A353" t="s">
        <v>15</v>
      </c>
      <c r="E353" t="s">
        <v>9</v>
      </c>
    </row>
    <row r="354" spans="1:5" x14ac:dyDescent="0.25">
      <c r="A354" t="s">
        <v>2583</v>
      </c>
      <c r="E354" t="s">
        <v>2584</v>
      </c>
    </row>
    <row r="355" spans="1:5" x14ac:dyDescent="0.25">
      <c r="A355" t="s">
        <v>16</v>
      </c>
      <c r="E355" t="s">
        <v>28</v>
      </c>
    </row>
    <row r="356" spans="1:5" x14ac:dyDescent="0.25">
      <c r="A356" t="s">
        <v>2585</v>
      </c>
      <c r="E356" t="s">
        <v>2586</v>
      </c>
    </row>
    <row r="357" spans="1:5" x14ac:dyDescent="0.25">
      <c r="A357" t="s">
        <v>18</v>
      </c>
      <c r="E357" t="s">
        <v>30</v>
      </c>
    </row>
    <row r="358" spans="1:5" x14ac:dyDescent="0.25">
      <c r="A358" t="s">
        <v>19</v>
      </c>
      <c r="E358" t="s">
        <v>31</v>
      </c>
    </row>
    <row r="359" spans="1:5" x14ac:dyDescent="0.25">
      <c r="A359" t="s">
        <v>20</v>
      </c>
      <c r="E359" t="s">
        <v>32</v>
      </c>
    </row>
    <row r="360" spans="1:5" x14ac:dyDescent="0.25">
      <c r="A360" t="s">
        <v>2587</v>
      </c>
      <c r="E360" t="s">
        <v>2588</v>
      </c>
    </row>
    <row r="361" spans="1:5" x14ac:dyDescent="0.25">
      <c r="A361" t="s">
        <v>22</v>
      </c>
      <c r="E361" t="s">
        <v>34</v>
      </c>
    </row>
    <row r="362" spans="1:5" x14ac:dyDescent="0.25">
      <c r="A362" t="s">
        <v>2589</v>
      </c>
      <c r="E362" t="s">
        <v>2590</v>
      </c>
    </row>
    <row r="363" spans="1:5" x14ac:dyDescent="0.25">
      <c r="A363" t="s">
        <v>24</v>
      </c>
      <c r="E363" t="s">
        <v>36</v>
      </c>
    </row>
    <row r="364" spans="1:5" x14ac:dyDescent="0.25">
      <c r="A364" t="s">
        <v>25</v>
      </c>
      <c r="E364" t="s">
        <v>37</v>
      </c>
    </row>
    <row r="365" spans="1:5" x14ac:dyDescent="0.25">
      <c r="A365" t="s">
        <v>26</v>
      </c>
      <c r="E365" t="s">
        <v>38</v>
      </c>
    </row>
    <row r="367" spans="1:5" x14ac:dyDescent="0.25">
      <c r="A367" t="s">
        <v>8</v>
      </c>
      <c r="E367" t="s">
        <v>14</v>
      </c>
    </row>
    <row r="368" spans="1:5" x14ac:dyDescent="0.25">
      <c r="A368" t="s">
        <v>9</v>
      </c>
      <c r="E368" t="s">
        <v>15</v>
      </c>
    </row>
    <row r="369" spans="1:5" x14ac:dyDescent="0.25">
      <c r="A369" t="s">
        <v>2591</v>
      </c>
      <c r="E369" t="s">
        <v>2592</v>
      </c>
    </row>
    <row r="370" spans="1:5" x14ac:dyDescent="0.25">
      <c r="A370" t="s">
        <v>28</v>
      </c>
      <c r="E370" t="s">
        <v>16</v>
      </c>
    </row>
    <row r="371" spans="1:5" x14ac:dyDescent="0.25">
      <c r="A371" t="s">
        <v>2593</v>
      </c>
      <c r="E371" t="s">
        <v>2546</v>
      </c>
    </row>
    <row r="372" spans="1:5" x14ac:dyDescent="0.25">
      <c r="A372" t="s">
        <v>30</v>
      </c>
      <c r="E372" t="s">
        <v>18</v>
      </c>
    </row>
    <row r="373" spans="1:5" x14ac:dyDescent="0.25">
      <c r="A373" t="s">
        <v>31</v>
      </c>
      <c r="E373" t="s">
        <v>19</v>
      </c>
    </row>
    <row r="374" spans="1:5" x14ac:dyDescent="0.25">
      <c r="A374" t="s">
        <v>32</v>
      </c>
      <c r="E374" t="s">
        <v>20</v>
      </c>
    </row>
    <row r="375" spans="1:5" x14ac:dyDescent="0.25">
      <c r="A375" t="s">
        <v>2594</v>
      </c>
      <c r="E375" t="s">
        <v>2595</v>
      </c>
    </row>
    <row r="376" spans="1:5" x14ac:dyDescent="0.25">
      <c r="A376" t="s">
        <v>34</v>
      </c>
      <c r="E376" t="s">
        <v>22</v>
      </c>
    </row>
    <row r="377" spans="1:5" x14ac:dyDescent="0.25">
      <c r="A377" t="s">
        <v>2596</v>
      </c>
      <c r="E377" t="s">
        <v>2597</v>
      </c>
    </row>
    <row r="378" spans="1:5" x14ac:dyDescent="0.25">
      <c r="A378" t="s">
        <v>36</v>
      </c>
      <c r="E378" t="s">
        <v>24</v>
      </c>
    </row>
    <row r="379" spans="1:5" x14ac:dyDescent="0.25">
      <c r="A379" t="s">
        <v>37</v>
      </c>
      <c r="E379" t="s">
        <v>25</v>
      </c>
    </row>
    <row r="380" spans="1:5" x14ac:dyDescent="0.25">
      <c r="A380" t="s">
        <v>38</v>
      </c>
      <c r="E380" t="s">
        <v>26</v>
      </c>
    </row>
    <row r="382" spans="1:5" x14ac:dyDescent="0.25">
      <c r="A382" t="s">
        <v>14</v>
      </c>
      <c r="E382" t="s">
        <v>8</v>
      </c>
    </row>
    <row r="383" spans="1:5" x14ac:dyDescent="0.25">
      <c r="A383" t="s">
        <v>15</v>
      </c>
      <c r="E383" t="s">
        <v>9</v>
      </c>
    </row>
    <row r="384" spans="1:5" x14ac:dyDescent="0.25">
      <c r="A384" t="s">
        <v>2598</v>
      </c>
      <c r="E384" t="s">
        <v>2599</v>
      </c>
    </row>
    <row r="385" spans="1:5" x14ac:dyDescent="0.25">
      <c r="A385" t="s">
        <v>16</v>
      </c>
      <c r="E385" t="s">
        <v>28</v>
      </c>
    </row>
    <row r="386" spans="1:5" x14ac:dyDescent="0.25">
      <c r="A386" t="s">
        <v>2600</v>
      </c>
      <c r="E386" t="s">
        <v>2601</v>
      </c>
    </row>
    <row r="387" spans="1:5" x14ac:dyDescent="0.25">
      <c r="A387" t="s">
        <v>18</v>
      </c>
      <c r="E387" t="s">
        <v>30</v>
      </c>
    </row>
    <row r="388" spans="1:5" x14ac:dyDescent="0.25">
      <c r="A388" t="s">
        <v>19</v>
      </c>
      <c r="E388" t="s">
        <v>31</v>
      </c>
    </row>
    <row r="389" spans="1:5" x14ac:dyDescent="0.25">
      <c r="A389" t="s">
        <v>20</v>
      </c>
      <c r="E389" t="s">
        <v>32</v>
      </c>
    </row>
    <row r="390" spans="1:5" x14ac:dyDescent="0.25">
      <c r="A390" t="s">
        <v>2602</v>
      </c>
      <c r="E390" t="s">
        <v>2603</v>
      </c>
    </row>
    <row r="391" spans="1:5" x14ac:dyDescent="0.25">
      <c r="A391" t="s">
        <v>22</v>
      </c>
      <c r="E391" t="s">
        <v>34</v>
      </c>
    </row>
    <row r="392" spans="1:5" x14ac:dyDescent="0.25">
      <c r="A392" t="s">
        <v>2604</v>
      </c>
      <c r="E392" t="s">
        <v>2605</v>
      </c>
    </row>
    <row r="393" spans="1:5" x14ac:dyDescent="0.25">
      <c r="A393" t="s">
        <v>24</v>
      </c>
      <c r="E393" t="s">
        <v>36</v>
      </c>
    </row>
    <row r="394" spans="1:5" x14ac:dyDescent="0.25">
      <c r="A394" t="s">
        <v>25</v>
      </c>
      <c r="E394" t="s">
        <v>37</v>
      </c>
    </row>
    <row r="395" spans="1:5" x14ac:dyDescent="0.25">
      <c r="A395" t="s">
        <v>26</v>
      </c>
      <c r="E395" t="s">
        <v>38</v>
      </c>
    </row>
    <row r="397" spans="1:5" x14ac:dyDescent="0.25">
      <c r="A397" t="s">
        <v>8</v>
      </c>
      <c r="E397" t="s">
        <v>14</v>
      </c>
    </row>
    <row r="398" spans="1:5" x14ac:dyDescent="0.25">
      <c r="A398" t="s">
        <v>9</v>
      </c>
      <c r="E398" t="s">
        <v>15</v>
      </c>
    </row>
    <row r="399" spans="1:5" x14ac:dyDescent="0.25">
      <c r="A399" t="s">
        <v>2606</v>
      </c>
      <c r="E399" t="s">
        <v>2607</v>
      </c>
    </row>
    <row r="400" spans="1:5" x14ac:dyDescent="0.25">
      <c r="A400" t="s">
        <v>28</v>
      </c>
      <c r="E400" t="s">
        <v>16</v>
      </c>
    </row>
    <row r="401" spans="1:5" x14ac:dyDescent="0.25">
      <c r="A401" t="s">
        <v>2608</v>
      </c>
      <c r="E401" t="s">
        <v>2609</v>
      </c>
    </row>
    <row r="402" spans="1:5" x14ac:dyDescent="0.25">
      <c r="A402" t="s">
        <v>30</v>
      </c>
      <c r="E402" t="s">
        <v>18</v>
      </c>
    </row>
    <row r="403" spans="1:5" x14ac:dyDescent="0.25">
      <c r="A403" t="s">
        <v>31</v>
      </c>
      <c r="E403" t="s">
        <v>19</v>
      </c>
    </row>
    <row r="404" spans="1:5" x14ac:dyDescent="0.25">
      <c r="A404" t="s">
        <v>32</v>
      </c>
      <c r="E404" t="s">
        <v>20</v>
      </c>
    </row>
    <row r="405" spans="1:5" x14ac:dyDescent="0.25">
      <c r="A405" t="s">
        <v>2610</v>
      </c>
      <c r="E405" t="s">
        <v>2611</v>
      </c>
    </row>
    <row r="406" spans="1:5" x14ac:dyDescent="0.25">
      <c r="A406" t="s">
        <v>34</v>
      </c>
      <c r="E406" t="s">
        <v>22</v>
      </c>
    </row>
    <row r="407" spans="1:5" x14ac:dyDescent="0.25">
      <c r="A407" t="s">
        <v>2612</v>
      </c>
      <c r="E407" t="s">
        <v>2613</v>
      </c>
    </row>
    <row r="408" spans="1:5" x14ac:dyDescent="0.25">
      <c r="A408" t="s">
        <v>36</v>
      </c>
      <c r="E408" t="s">
        <v>24</v>
      </c>
    </row>
    <row r="409" spans="1:5" x14ac:dyDescent="0.25">
      <c r="A409" t="s">
        <v>37</v>
      </c>
      <c r="E409" t="s">
        <v>25</v>
      </c>
    </row>
    <row r="410" spans="1:5" x14ac:dyDescent="0.25">
      <c r="A410" t="s">
        <v>38</v>
      </c>
      <c r="E410" t="s">
        <v>26</v>
      </c>
    </row>
    <row r="412" spans="1:5" x14ac:dyDescent="0.25">
      <c r="A412" t="s">
        <v>14</v>
      </c>
      <c r="E412" t="s">
        <v>8</v>
      </c>
    </row>
    <row r="413" spans="1:5" x14ac:dyDescent="0.25">
      <c r="A413" t="s">
        <v>15</v>
      </c>
      <c r="E413" t="s">
        <v>9</v>
      </c>
    </row>
    <row r="414" spans="1:5" x14ac:dyDescent="0.25">
      <c r="A414" t="s">
        <v>2614</v>
      </c>
      <c r="E414" t="s">
        <v>2615</v>
      </c>
    </row>
    <row r="415" spans="1:5" x14ac:dyDescent="0.25">
      <c r="A415" t="s">
        <v>16</v>
      </c>
      <c r="E415" t="s">
        <v>28</v>
      </c>
    </row>
    <row r="416" spans="1:5" x14ac:dyDescent="0.25">
      <c r="A416" t="s">
        <v>2616</v>
      </c>
      <c r="E416" t="s">
        <v>2617</v>
      </c>
    </row>
    <row r="417" spans="1:5" x14ac:dyDescent="0.25">
      <c r="A417" t="s">
        <v>18</v>
      </c>
      <c r="E417" t="s">
        <v>30</v>
      </c>
    </row>
    <row r="418" spans="1:5" x14ac:dyDescent="0.25">
      <c r="A418" t="s">
        <v>19</v>
      </c>
      <c r="E418" t="s">
        <v>31</v>
      </c>
    </row>
    <row r="419" spans="1:5" x14ac:dyDescent="0.25">
      <c r="A419" t="s">
        <v>20</v>
      </c>
      <c r="E419" t="s">
        <v>32</v>
      </c>
    </row>
    <row r="420" spans="1:5" x14ac:dyDescent="0.25">
      <c r="A420" t="s">
        <v>2618</v>
      </c>
      <c r="E420" t="s">
        <v>2619</v>
      </c>
    </row>
    <row r="421" spans="1:5" x14ac:dyDescent="0.25">
      <c r="A421" t="s">
        <v>22</v>
      </c>
      <c r="E421" t="s">
        <v>34</v>
      </c>
    </row>
    <row r="422" spans="1:5" x14ac:dyDescent="0.25">
      <c r="A422" t="s">
        <v>2620</v>
      </c>
      <c r="E422" t="s">
        <v>2621</v>
      </c>
    </row>
    <row r="423" spans="1:5" x14ac:dyDescent="0.25">
      <c r="A423" t="s">
        <v>24</v>
      </c>
      <c r="E423" t="s">
        <v>36</v>
      </c>
    </row>
    <row r="424" spans="1:5" x14ac:dyDescent="0.25">
      <c r="A424" t="s">
        <v>25</v>
      </c>
      <c r="E424" t="s">
        <v>37</v>
      </c>
    </row>
    <row r="425" spans="1:5" x14ac:dyDescent="0.25">
      <c r="A425" t="s">
        <v>26</v>
      </c>
      <c r="E425" t="s">
        <v>38</v>
      </c>
    </row>
    <row r="427" spans="1:5" x14ac:dyDescent="0.25">
      <c r="A427" t="s">
        <v>8</v>
      </c>
      <c r="E427" t="s">
        <v>14</v>
      </c>
    </row>
    <row r="428" spans="1:5" x14ac:dyDescent="0.25">
      <c r="A428" t="s">
        <v>9</v>
      </c>
      <c r="E428" t="s">
        <v>15</v>
      </c>
    </row>
    <row r="429" spans="1:5" x14ac:dyDescent="0.25">
      <c r="A429" t="s">
        <v>2622</v>
      </c>
      <c r="E429" t="s">
        <v>2623</v>
      </c>
    </row>
    <row r="430" spans="1:5" x14ac:dyDescent="0.25">
      <c r="A430" t="s">
        <v>28</v>
      </c>
      <c r="E430" t="s">
        <v>16</v>
      </c>
    </row>
    <row r="431" spans="1:5" x14ac:dyDescent="0.25">
      <c r="A431" t="s">
        <v>2624</v>
      </c>
      <c r="E431" t="s">
        <v>2625</v>
      </c>
    </row>
    <row r="432" spans="1:5" x14ac:dyDescent="0.25">
      <c r="A432" t="s">
        <v>30</v>
      </c>
      <c r="E432" t="s">
        <v>18</v>
      </c>
    </row>
    <row r="433" spans="1:5" x14ac:dyDescent="0.25">
      <c r="A433" t="s">
        <v>31</v>
      </c>
      <c r="E433" t="s">
        <v>19</v>
      </c>
    </row>
    <row r="434" spans="1:5" x14ac:dyDescent="0.25">
      <c r="A434" t="s">
        <v>32</v>
      </c>
      <c r="E434" t="s">
        <v>20</v>
      </c>
    </row>
    <row r="435" spans="1:5" x14ac:dyDescent="0.25">
      <c r="A435" t="s">
        <v>2626</v>
      </c>
      <c r="E435" t="s">
        <v>2627</v>
      </c>
    </row>
    <row r="436" spans="1:5" x14ac:dyDescent="0.25">
      <c r="A436" t="s">
        <v>34</v>
      </c>
      <c r="E436" t="s">
        <v>22</v>
      </c>
    </row>
    <row r="437" spans="1:5" x14ac:dyDescent="0.25">
      <c r="A437" t="s">
        <v>2628</v>
      </c>
      <c r="E437" t="s">
        <v>2629</v>
      </c>
    </row>
    <row r="438" spans="1:5" x14ac:dyDescent="0.25">
      <c r="A438" t="s">
        <v>36</v>
      </c>
      <c r="E438" t="s">
        <v>24</v>
      </c>
    </row>
    <row r="439" spans="1:5" x14ac:dyDescent="0.25">
      <c r="A439" t="s">
        <v>37</v>
      </c>
      <c r="E439" t="s">
        <v>25</v>
      </c>
    </row>
    <row r="440" spans="1:5" x14ac:dyDescent="0.25">
      <c r="A440" t="s">
        <v>38</v>
      </c>
      <c r="E440" t="s">
        <v>26</v>
      </c>
    </row>
    <row r="442" spans="1:5" x14ac:dyDescent="0.25">
      <c r="A442" t="s">
        <v>14</v>
      </c>
      <c r="E442" t="s">
        <v>8</v>
      </c>
    </row>
    <row r="443" spans="1:5" x14ac:dyDescent="0.25">
      <c r="A443" t="s">
        <v>15</v>
      </c>
      <c r="E443" t="s">
        <v>9</v>
      </c>
    </row>
    <row r="444" spans="1:5" x14ac:dyDescent="0.25">
      <c r="A444" t="s">
        <v>2630</v>
      </c>
      <c r="E444" t="s">
        <v>2631</v>
      </c>
    </row>
    <row r="445" spans="1:5" x14ac:dyDescent="0.25">
      <c r="A445" t="s">
        <v>16</v>
      </c>
      <c r="E445" t="s">
        <v>28</v>
      </c>
    </row>
    <row r="446" spans="1:5" x14ac:dyDescent="0.25">
      <c r="A446" t="s">
        <v>2632</v>
      </c>
      <c r="E446" t="s">
        <v>2633</v>
      </c>
    </row>
    <row r="447" spans="1:5" x14ac:dyDescent="0.25">
      <c r="A447" t="s">
        <v>18</v>
      </c>
      <c r="E447" t="s">
        <v>30</v>
      </c>
    </row>
    <row r="448" spans="1:5" x14ac:dyDescent="0.25">
      <c r="A448" t="s">
        <v>19</v>
      </c>
      <c r="E448" t="s">
        <v>31</v>
      </c>
    </row>
    <row r="449" spans="1:5" x14ac:dyDescent="0.25">
      <c r="A449" t="s">
        <v>20</v>
      </c>
      <c r="E449" t="s">
        <v>32</v>
      </c>
    </row>
    <row r="450" spans="1:5" x14ac:dyDescent="0.25">
      <c r="A450" t="s">
        <v>2634</v>
      </c>
      <c r="E450" t="s">
        <v>2635</v>
      </c>
    </row>
    <row r="451" spans="1:5" x14ac:dyDescent="0.25">
      <c r="A451" t="s">
        <v>22</v>
      </c>
      <c r="E451" t="s">
        <v>34</v>
      </c>
    </row>
    <row r="452" spans="1:5" x14ac:dyDescent="0.25">
      <c r="A452" t="s">
        <v>2636</v>
      </c>
      <c r="E452" t="s">
        <v>2637</v>
      </c>
    </row>
    <row r="453" spans="1:5" x14ac:dyDescent="0.25">
      <c r="A453" t="s">
        <v>24</v>
      </c>
      <c r="E453" t="s">
        <v>36</v>
      </c>
    </row>
    <row r="454" spans="1:5" x14ac:dyDescent="0.25">
      <c r="A454" t="s">
        <v>25</v>
      </c>
      <c r="E454" t="s">
        <v>37</v>
      </c>
    </row>
    <row r="455" spans="1:5" x14ac:dyDescent="0.25">
      <c r="A455" t="s">
        <v>26</v>
      </c>
      <c r="E455" t="s">
        <v>38</v>
      </c>
    </row>
    <row r="457" spans="1:5" x14ac:dyDescent="0.25">
      <c r="A457" t="s">
        <v>12</v>
      </c>
      <c r="E457" t="s">
        <v>10</v>
      </c>
    </row>
    <row r="458" spans="1:5" x14ac:dyDescent="0.25">
      <c r="A458" t="s">
        <v>13</v>
      </c>
      <c r="E458" t="s">
        <v>11</v>
      </c>
    </row>
    <row r="459" spans="1:5" x14ac:dyDescent="0.25">
      <c r="A459" t="s">
        <v>10</v>
      </c>
      <c r="E459" t="s">
        <v>12</v>
      </c>
    </row>
    <row r="460" spans="1:5" x14ac:dyDescent="0.25">
      <c r="A460" t="s">
        <v>11</v>
      </c>
      <c r="E460" t="s">
        <v>13</v>
      </c>
    </row>
    <row r="461" spans="1:5" x14ac:dyDescent="0.25">
      <c r="A461" t="s">
        <v>8</v>
      </c>
      <c r="E461" t="s">
        <v>14</v>
      </c>
    </row>
    <row r="462" spans="1:5" x14ac:dyDescent="0.25">
      <c r="A462" t="s">
        <v>9</v>
      </c>
      <c r="E462" t="s">
        <v>15</v>
      </c>
    </row>
    <row r="463" spans="1:5" x14ac:dyDescent="0.25">
      <c r="A463" t="s">
        <v>2638</v>
      </c>
      <c r="E463" t="s">
        <v>2639</v>
      </c>
    </row>
    <row r="464" spans="1:5" x14ac:dyDescent="0.25">
      <c r="A464" t="s">
        <v>28</v>
      </c>
      <c r="E464" t="s">
        <v>16</v>
      </c>
    </row>
    <row r="465" spans="1:5" x14ac:dyDescent="0.25">
      <c r="A465" t="s">
        <v>2640</v>
      </c>
      <c r="E465" t="s">
        <v>2641</v>
      </c>
    </row>
    <row r="466" spans="1:5" x14ac:dyDescent="0.25">
      <c r="A466" t="s">
        <v>30</v>
      </c>
      <c r="E466" t="s">
        <v>18</v>
      </c>
    </row>
    <row r="467" spans="1:5" x14ac:dyDescent="0.25">
      <c r="A467" t="s">
        <v>31</v>
      </c>
      <c r="E467" t="s">
        <v>19</v>
      </c>
    </row>
    <row r="468" spans="1:5" x14ac:dyDescent="0.25">
      <c r="A468" t="s">
        <v>32</v>
      </c>
      <c r="E468" t="s">
        <v>20</v>
      </c>
    </row>
    <row r="469" spans="1:5" x14ac:dyDescent="0.25">
      <c r="A469" t="s">
        <v>2642</v>
      </c>
      <c r="E469" t="s">
        <v>2643</v>
      </c>
    </row>
    <row r="470" spans="1:5" x14ac:dyDescent="0.25">
      <c r="A470" t="s">
        <v>34</v>
      </c>
      <c r="E470" t="s">
        <v>22</v>
      </c>
    </row>
    <row r="471" spans="1:5" x14ac:dyDescent="0.25">
      <c r="A471" t="s">
        <v>2644</v>
      </c>
      <c r="E471" t="s">
        <v>2645</v>
      </c>
    </row>
    <row r="472" spans="1:5" x14ac:dyDescent="0.25">
      <c r="A472" t="s">
        <v>36</v>
      </c>
      <c r="E472" t="s">
        <v>24</v>
      </c>
    </row>
    <row r="473" spans="1:5" x14ac:dyDescent="0.25">
      <c r="A473" t="s">
        <v>37</v>
      </c>
      <c r="E473" t="s">
        <v>25</v>
      </c>
    </row>
    <row r="474" spans="1:5" x14ac:dyDescent="0.25">
      <c r="A474" t="s">
        <v>38</v>
      </c>
      <c r="E474" t="s">
        <v>26</v>
      </c>
    </row>
    <row r="475" spans="1:5" x14ac:dyDescent="0.25">
      <c r="A475" t="s">
        <v>14</v>
      </c>
      <c r="E475" t="s">
        <v>8</v>
      </c>
    </row>
    <row r="476" spans="1:5" x14ac:dyDescent="0.25">
      <c r="A476" t="s">
        <v>15</v>
      </c>
      <c r="E476" t="s">
        <v>9</v>
      </c>
    </row>
    <row r="477" spans="1:5" x14ac:dyDescent="0.25">
      <c r="A477" t="s">
        <v>12</v>
      </c>
      <c r="E477" t="s">
        <v>10</v>
      </c>
    </row>
    <row r="478" spans="1:5" x14ac:dyDescent="0.25">
      <c r="A478" t="s">
        <v>13</v>
      </c>
      <c r="E478" t="s">
        <v>11</v>
      </c>
    </row>
    <row r="479" spans="1:5" x14ac:dyDescent="0.25">
      <c r="A479" t="s">
        <v>2</v>
      </c>
      <c r="E479" t="s">
        <v>933</v>
      </c>
    </row>
    <row r="480" spans="1:5" x14ac:dyDescent="0.25">
      <c r="A480" t="s">
        <v>3</v>
      </c>
      <c r="E480" t="s">
        <v>934</v>
      </c>
    </row>
    <row r="481" spans="1:5" x14ac:dyDescent="0.25">
      <c r="A481" t="s">
        <v>4</v>
      </c>
      <c r="E481" t="s">
        <v>935</v>
      </c>
    </row>
    <row r="482" spans="1:5" x14ac:dyDescent="0.25">
      <c r="A482" t="s">
        <v>5</v>
      </c>
      <c r="E482" t="s">
        <v>936</v>
      </c>
    </row>
    <row r="483" spans="1:5" x14ac:dyDescent="0.25">
      <c r="A483" t="s">
        <v>6</v>
      </c>
      <c r="E483" t="s">
        <v>181</v>
      </c>
    </row>
    <row r="484" spans="1:5" x14ac:dyDescent="0.25">
      <c r="A484" t="s">
        <v>7</v>
      </c>
      <c r="E484" t="s">
        <v>182</v>
      </c>
    </row>
    <row r="485" spans="1:5" x14ac:dyDescent="0.25">
      <c r="A485" t="s">
        <v>8</v>
      </c>
      <c r="E485" t="s">
        <v>14</v>
      </c>
    </row>
    <row r="486" spans="1:5" x14ac:dyDescent="0.25">
      <c r="A486" t="s">
        <v>9</v>
      </c>
      <c r="E486" t="s">
        <v>15</v>
      </c>
    </row>
    <row r="487" spans="1:5" x14ac:dyDescent="0.25">
      <c r="A487" t="s">
        <v>149</v>
      </c>
      <c r="E487" t="s">
        <v>151</v>
      </c>
    </row>
    <row r="488" spans="1:5" x14ac:dyDescent="0.25">
      <c r="A488" t="s">
        <v>150</v>
      </c>
      <c r="E488" t="s">
        <v>1048</v>
      </c>
    </row>
    <row r="489" spans="1:5" x14ac:dyDescent="0.25">
      <c r="A489" t="s">
        <v>151</v>
      </c>
      <c r="E489" t="s">
        <v>149</v>
      </c>
    </row>
    <row r="490" spans="1:5" x14ac:dyDescent="0.25">
      <c r="A490" t="s">
        <v>152</v>
      </c>
      <c r="E490" t="s">
        <v>1049</v>
      </c>
    </row>
    <row r="491" spans="1:5" x14ac:dyDescent="0.25">
      <c r="A491" t="s">
        <v>149</v>
      </c>
      <c r="E491" t="s">
        <v>151</v>
      </c>
    </row>
    <row r="492" spans="1:5" x14ac:dyDescent="0.25">
      <c r="A492" t="s">
        <v>153</v>
      </c>
      <c r="E492" t="s">
        <v>1050</v>
      </c>
    </row>
    <row r="493" spans="1:5" x14ac:dyDescent="0.25">
      <c r="A493" t="s">
        <v>151</v>
      </c>
      <c r="E493" t="s">
        <v>149</v>
      </c>
    </row>
    <row r="494" spans="1:5" x14ac:dyDescent="0.25">
      <c r="A494" t="s">
        <v>154</v>
      </c>
      <c r="E494" t="s">
        <v>1051</v>
      </c>
    </row>
    <row r="495" spans="1:5" x14ac:dyDescent="0.25">
      <c r="A495" t="s">
        <v>155</v>
      </c>
      <c r="E495" t="s">
        <v>160</v>
      </c>
    </row>
    <row r="496" spans="1:5" x14ac:dyDescent="0.25">
      <c r="A496" t="s">
        <v>156</v>
      </c>
      <c r="E496" t="s">
        <v>1052</v>
      </c>
    </row>
    <row r="497" spans="1:5" x14ac:dyDescent="0.25">
      <c r="A497" t="s">
        <v>157</v>
      </c>
      <c r="E497" t="s">
        <v>1053</v>
      </c>
    </row>
    <row r="498" spans="1:5" x14ac:dyDescent="0.25">
      <c r="A498" t="s">
        <v>158</v>
      </c>
      <c r="E498" t="s">
        <v>1054</v>
      </c>
    </row>
    <row r="499" spans="1:5" x14ac:dyDescent="0.25">
      <c r="A499" t="s">
        <v>155</v>
      </c>
      <c r="E499" t="s">
        <v>160</v>
      </c>
    </row>
    <row r="500" spans="1:5" x14ac:dyDescent="0.25">
      <c r="A500" t="s">
        <v>159</v>
      </c>
      <c r="E500" t="s">
        <v>1055</v>
      </c>
    </row>
    <row r="501" spans="1:5" x14ac:dyDescent="0.25">
      <c r="A501" t="s">
        <v>160</v>
      </c>
      <c r="E501" t="s">
        <v>155</v>
      </c>
    </row>
    <row r="502" spans="1:5" x14ac:dyDescent="0.25">
      <c r="A502" t="s">
        <v>161</v>
      </c>
      <c r="E502" t="s">
        <v>1056</v>
      </c>
    </row>
    <row r="503" spans="1:5" x14ac:dyDescent="0.25">
      <c r="A503" t="s">
        <v>155</v>
      </c>
      <c r="E503" t="s">
        <v>160</v>
      </c>
    </row>
    <row r="504" spans="1:5" x14ac:dyDescent="0.25">
      <c r="A504" t="s">
        <v>162</v>
      </c>
      <c r="E504" t="s">
        <v>1057</v>
      </c>
    </row>
    <row r="505" spans="1:5" x14ac:dyDescent="0.25">
      <c r="A505" t="s">
        <v>160</v>
      </c>
      <c r="E505" t="s">
        <v>155</v>
      </c>
    </row>
    <row r="506" spans="1:5" x14ac:dyDescent="0.25">
      <c r="A506" t="s">
        <v>163</v>
      </c>
      <c r="E506" t="s">
        <v>1058</v>
      </c>
    </row>
    <row r="507" spans="1:5" x14ac:dyDescent="0.25">
      <c r="A507" t="s">
        <v>155</v>
      </c>
      <c r="E507" t="s">
        <v>160</v>
      </c>
    </row>
    <row r="508" spans="1:5" x14ac:dyDescent="0.25">
      <c r="A508" t="s">
        <v>164</v>
      </c>
      <c r="E508" t="s">
        <v>1059</v>
      </c>
    </row>
    <row r="509" spans="1:5" x14ac:dyDescent="0.25">
      <c r="A509" t="s">
        <v>165</v>
      </c>
      <c r="E509" t="s">
        <v>2383</v>
      </c>
    </row>
    <row r="510" spans="1:5" x14ac:dyDescent="0.25">
      <c r="A510" t="s">
        <v>166</v>
      </c>
      <c r="E510" t="s">
        <v>1060</v>
      </c>
    </row>
    <row r="511" spans="1:5" x14ac:dyDescent="0.25">
      <c r="A511" t="s">
        <v>931</v>
      </c>
      <c r="E511" t="s">
        <v>169</v>
      </c>
    </row>
    <row r="512" spans="1:5" x14ac:dyDescent="0.25">
      <c r="A512" t="s">
        <v>168</v>
      </c>
      <c r="E512" t="s">
        <v>1061</v>
      </c>
    </row>
    <row r="513" spans="1:5" x14ac:dyDescent="0.25">
      <c r="A513" t="s">
        <v>169</v>
      </c>
      <c r="E513" t="s">
        <v>931</v>
      </c>
    </row>
    <row r="514" spans="1:5" x14ac:dyDescent="0.25">
      <c r="A514" t="s">
        <v>170</v>
      </c>
      <c r="E514" t="s">
        <v>1062</v>
      </c>
    </row>
    <row r="515" spans="1:5" x14ac:dyDescent="0.25">
      <c r="A515" t="s">
        <v>171</v>
      </c>
      <c r="E515" t="s">
        <v>1063</v>
      </c>
    </row>
    <row r="516" spans="1:5" x14ac:dyDescent="0.25">
      <c r="A516" t="s">
        <v>172</v>
      </c>
      <c r="E516" t="s">
        <v>1064</v>
      </c>
    </row>
    <row r="517" spans="1:5" x14ac:dyDescent="0.25">
      <c r="A517" t="s">
        <v>173</v>
      </c>
      <c r="E517" t="s">
        <v>1065</v>
      </c>
    </row>
    <row r="518" spans="1:5" x14ac:dyDescent="0.25">
      <c r="A518" t="s">
        <v>174</v>
      </c>
      <c r="E518" t="s">
        <v>1066</v>
      </c>
    </row>
    <row r="519" spans="1:5" x14ac:dyDescent="0.25">
      <c r="A519" t="s">
        <v>175</v>
      </c>
      <c r="E519" t="s">
        <v>1067</v>
      </c>
    </row>
    <row r="520" spans="1:5" x14ac:dyDescent="0.25">
      <c r="A520" t="s">
        <v>176</v>
      </c>
      <c r="E520" t="s">
        <v>1068</v>
      </c>
    </row>
    <row r="521" spans="1:5" x14ac:dyDescent="0.25">
      <c r="A521" t="s">
        <v>177</v>
      </c>
      <c r="E521" t="s">
        <v>179</v>
      </c>
    </row>
    <row r="522" spans="1:5" x14ac:dyDescent="0.25">
      <c r="A522" t="s">
        <v>178</v>
      </c>
      <c r="E522" t="s">
        <v>1069</v>
      </c>
    </row>
    <row r="523" spans="1:5" x14ac:dyDescent="0.25">
      <c r="A523" t="s">
        <v>179</v>
      </c>
      <c r="E523" t="s">
        <v>177</v>
      </c>
    </row>
    <row r="524" spans="1:5" x14ac:dyDescent="0.25">
      <c r="A524" t="s">
        <v>180</v>
      </c>
      <c r="E524" t="s">
        <v>1070</v>
      </c>
    </row>
    <row r="525" spans="1:5" x14ac:dyDescent="0.25">
      <c r="A525" t="s">
        <v>181</v>
      </c>
      <c r="E525" t="s">
        <v>6</v>
      </c>
    </row>
    <row r="526" spans="1:5" x14ac:dyDescent="0.25">
      <c r="A526" t="s">
        <v>182</v>
      </c>
      <c r="E526" t="s">
        <v>7</v>
      </c>
    </row>
    <row r="527" spans="1:5" x14ac:dyDescent="0.25">
      <c r="A527" t="s">
        <v>932</v>
      </c>
      <c r="E527" t="s">
        <v>1071</v>
      </c>
    </row>
    <row r="528" spans="1:5" x14ac:dyDescent="0.25">
      <c r="A528" t="s">
        <v>184</v>
      </c>
      <c r="E528" t="s">
        <v>1072</v>
      </c>
    </row>
    <row r="529" spans="1:5" x14ac:dyDescent="0.25">
      <c r="A529" t="s">
        <v>2646</v>
      </c>
      <c r="E529" t="s">
        <v>2647</v>
      </c>
    </row>
    <row r="530" spans="1:5" x14ac:dyDescent="0.25">
      <c r="A530" t="s">
        <v>186</v>
      </c>
      <c r="E530" t="s">
        <v>1074</v>
      </c>
    </row>
    <row r="531" spans="1:5" x14ac:dyDescent="0.25">
      <c r="A531" t="s">
        <v>10</v>
      </c>
      <c r="E531" t="s">
        <v>12</v>
      </c>
    </row>
    <row r="532" spans="1:5" x14ac:dyDescent="0.25">
      <c r="A532" t="s">
        <v>11</v>
      </c>
      <c r="E532" t="s">
        <v>13</v>
      </c>
    </row>
    <row r="533" spans="1:5" x14ac:dyDescent="0.25">
      <c r="A533" t="s">
        <v>12</v>
      </c>
      <c r="E533" t="s">
        <v>10</v>
      </c>
    </row>
    <row r="534" spans="1:5" x14ac:dyDescent="0.25">
      <c r="A534" t="s">
        <v>13</v>
      </c>
      <c r="E534" t="s">
        <v>11</v>
      </c>
    </row>
    <row r="535" spans="1:5" x14ac:dyDescent="0.25">
      <c r="A535" t="s">
        <v>10</v>
      </c>
      <c r="E535" t="s">
        <v>12</v>
      </c>
    </row>
    <row r="536" spans="1:5" x14ac:dyDescent="0.25">
      <c r="A536" t="s">
        <v>11</v>
      </c>
      <c r="E536" t="s">
        <v>13</v>
      </c>
    </row>
    <row r="537" spans="1:5" x14ac:dyDescent="0.25">
      <c r="A537" t="s">
        <v>12</v>
      </c>
      <c r="E537" t="s">
        <v>10</v>
      </c>
    </row>
    <row r="538" spans="1:5" x14ac:dyDescent="0.25">
      <c r="A538" t="s">
        <v>13</v>
      </c>
      <c r="E538" t="s">
        <v>11</v>
      </c>
    </row>
    <row r="539" spans="1:5" x14ac:dyDescent="0.25">
      <c r="A539" t="s">
        <v>25</v>
      </c>
      <c r="E539" t="s">
        <v>37</v>
      </c>
    </row>
    <row r="540" spans="1:5" x14ac:dyDescent="0.25">
      <c r="A540" t="s">
        <v>26</v>
      </c>
      <c r="E540" t="s">
        <v>38</v>
      </c>
    </row>
    <row r="541" spans="1:5" x14ac:dyDescent="0.25">
      <c r="A541" t="s">
        <v>12</v>
      </c>
      <c r="E541" t="s">
        <v>10</v>
      </c>
    </row>
    <row r="542" spans="1:5" x14ac:dyDescent="0.25">
      <c r="A542" t="s">
        <v>13</v>
      </c>
      <c r="E542" t="s">
        <v>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W38"/>
  <sheetViews>
    <sheetView topLeftCell="N1" workbookViewId="0">
      <selection activeCell="T10" sqref="T10"/>
    </sheetView>
  </sheetViews>
  <sheetFormatPr defaultRowHeight="15" x14ac:dyDescent="0.25"/>
  <cols>
    <col min="1" max="1" width="10.7109375" customWidth="1"/>
    <col min="2" max="11" width="20.7109375" customWidth="1"/>
    <col min="13" max="13" width="10.7109375" customWidth="1"/>
    <col min="14" max="23" width="20.7109375" customWidth="1"/>
  </cols>
  <sheetData>
    <row r="1" spans="1:23" x14ac:dyDescent="0.25">
      <c r="A1" s="7" t="s">
        <v>0</v>
      </c>
      <c r="B1" s="7"/>
      <c r="C1" s="7"/>
      <c r="D1" s="7"/>
      <c r="E1" s="7"/>
    </row>
    <row r="2" spans="1:23" x14ac:dyDescent="0.25">
      <c r="A2" s="7"/>
      <c r="B2" s="7"/>
      <c r="C2" s="7"/>
      <c r="D2" s="7"/>
      <c r="E2" s="7"/>
    </row>
    <row r="3" spans="1:23" x14ac:dyDescent="0.25">
      <c r="A3" s="8" t="s">
        <v>761</v>
      </c>
      <c r="B3" s="8">
        <v>42838</v>
      </c>
      <c r="C3" s="7"/>
      <c r="D3" s="7"/>
      <c r="E3" s="7"/>
    </row>
    <row r="4" spans="1:23" x14ac:dyDescent="0.25">
      <c r="A4" s="7" t="s">
        <v>762</v>
      </c>
      <c r="B4" s="9">
        <v>0.47430555554456078</v>
      </c>
      <c r="C4" s="7"/>
      <c r="D4" s="7"/>
      <c r="E4" s="7"/>
    </row>
    <row r="5" spans="1:23" x14ac:dyDescent="0.25">
      <c r="A5" s="7" t="s">
        <v>763</v>
      </c>
      <c r="B5" s="9"/>
      <c r="C5" s="7"/>
      <c r="D5" s="7"/>
      <c r="E5" s="7"/>
    </row>
    <row r="6" spans="1:23" x14ac:dyDescent="0.25">
      <c r="A6" s="7"/>
      <c r="B6" s="7"/>
      <c r="C6" s="7"/>
      <c r="D6" s="7"/>
      <c r="E6" s="7"/>
    </row>
    <row r="7" spans="1:23" x14ac:dyDescent="0.25">
      <c r="A7" s="7" t="s">
        <v>1528</v>
      </c>
      <c r="B7" s="7"/>
      <c r="C7" s="7"/>
      <c r="D7" s="7"/>
      <c r="E7" s="7"/>
    </row>
    <row r="8" spans="1:23" x14ac:dyDescent="0.25">
      <c r="A8" s="4" t="s">
        <v>1</v>
      </c>
      <c r="B8" s="4"/>
      <c r="C8" s="4"/>
      <c r="D8" s="4"/>
      <c r="E8" s="4"/>
      <c r="F8" s="4"/>
      <c r="G8" s="4"/>
      <c r="H8" s="4"/>
      <c r="I8" s="4"/>
      <c r="J8" s="4"/>
      <c r="K8" s="4"/>
      <c r="M8" s="4" t="s">
        <v>533</v>
      </c>
      <c r="N8" s="4"/>
      <c r="O8" s="4"/>
      <c r="P8" s="4"/>
      <c r="Q8" s="4"/>
      <c r="R8" s="4"/>
      <c r="S8" s="4"/>
      <c r="T8" s="4"/>
      <c r="U8" s="4"/>
      <c r="V8" s="4"/>
      <c r="W8" s="4"/>
    </row>
    <row r="9" spans="1:23" x14ac:dyDescent="0.25">
      <c r="A9" s="4" t="s">
        <v>2659</v>
      </c>
      <c r="B9" s="4" t="s">
        <v>2660</v>
      </c>
      <c r="C9" s="4" t="s">
        <v>2661</v>
      </c>
      <c r="D9" s="4" t="s">
        <v>2662</v>
      </c>
      <c r="E9" s="4" t="s">
        <v>2663</v>
      </c>
      <c r="F9" s="4" t="s">
        <v>2664</v>
      </c>
      <c r="G9" s="4" t="s">
        <v>2665</v>
      </c>
      <c r="H9" s="4" t="s">
        <v>2666</v>
      </c>
      <c r="I9" s="4" t="s">
        <v>2667</v>
      </c>
      <c r="J9" s="4" t="s">
        <v>2668</v>
      </c>
      <c r="K9" s="4" t="s">
        <v>2669</v>
      </c>
      <c r="M9" s="4" t="s">
        <v>2659</v>
      </c>
      <c r="N9" s="4" t="s">
        <v>2660</v>
      </c>
      <c r="O9" s="4" t="s">
        <v>2661</v>
      </c>
      <c r="P9" s="4" t="s">
        <v>2662</v>
      </c>
      <c r="Q9" s="4" t="s">
        <v>2663</v>
      </c>
      <c r="R9" s="4" t="s">
        <v>2664</v>
      </c>
      <c r="S9" s="4" t="s">
        <v>2665</v>
      </c>
      <c r="T9" s="4" t="s">
        <v>2666</v>
      </c>
      <c r="U9" s="4" t="s">
        <v>2667</v>
      </c>
      <c r="V9" s="4" t="s">
        <v>2668</v>
      </c>
      <c r="W9" s="4" t="s">
        <v>2669</v>
      </c>
    </row>
    <row r="10" spans="1:23" x14ac:dyDescent="0.25">
      <c r="A10" s="4">
        <v>1</v>
      </c>
      <c r="B10" s="4">
        <v>2355</v>
      </c>
      <c r="C10" s="4">
        <v>2878</v>
      </c>
      <c r="D10" s="4">
        <v>575703</v>
      </c>
      <c r="E10" s="4">
        <v>575680</v>
      </c>
      <c r="F10" s="4">
        <v>100000</v>
      </c>
      <c r="G10" s="4">
        <v>100032</v>
      </c>
      <c r="H10" s="4">
        <v>0</v>
      </c>
      <c r="I10" s="4">
        <v>4210</v>
      </c>
      <c r="J10" s="4">
        <v>200818</v>
      </c>
      <c r="K10" s="4">
        <v>200832</v>
      </c>
      <c r="M10" s="4">
        <v>1</v>
      </c>
      <c r="N10" s="4">
        <v>2369</v>
      </c>
      <c r="O10" s="4">
        <v>2861</v>
      </c>
      <c r="P10" s="4">
        <v>572281</v>
      </c>
      <c r="Q10" s="4">
        <v>572288</v>
      </c>
      <c r="R10" s="4">
        <v>100000</v>
      </c>
      <c r="S10" s="4">
        <v>100032</v>
      </c>
      <c r="T10" s="4">
        <v>480</v>
      </c>
      <c r="U10" s="4">
        <v>15434</v>
      </c>
      <c r="V10" s="4">
        <v>212042</v>
      </c>
      <c r="W10" s="4">
        <v>212032</v>
      </c>
    </row>
    <row r="11" spans="1:23" x14ac:dyDescent="0.25">
      <c r="A11" s="4">
        <v>2</v>
      </c>
      <c r="B11" s="4">
        <v>2355</v>
      </c>
      <c r="C11" s="4">
        <v>2879</v>
      </c>
      <c r="D11" s="4">
        <v>575859</v>
      </c>
      <c r="E11" s="4">
        <v>575872</v>
      </c>
      <c r="F11" s="4">
        <v>100000</v>
      </c>
      <c r="G11" s="4">
        <v>100032</v>
      </c>
      <c r="H11" s="4">
        <v>0</v>
      </c>
      <c r="I11" s="4">
        <v>4321</v>
      </c>
      <c r="J11" s="4">
        <v>200929</v>
      </c>
      <c r="K11" s="4">
        <v>200960</v>
      </c>
      <c r="M11" s="4">
        <v>2</v>
      </c>
      <c r="N11" s="4">
        <v>2370</v>
      </c>
      <c r="O11" s="4">
        <v>2860</v>
      </c>
      <c r="P11" s="4">
        <v>572063</v>
      </c>
      <c r="Q11" s="4">
        <v>572032</v>
      </c>
      <c r="R11" s="4">
        <v>100000</v>
      </c>
      <c r="S11" s="4">
        <v>100032</v>
      </c>
      <c r="T11" s="4">
        <v>483</v>
      </c>
      <c r="U11" s="4">
        <v>15505</v>
      </c>
      <c r="V11" s="4">
        <v>212113</v>
      </c>
      <c r="W11" s="4">
        <v>212096</v>
      </c>
    </row>
    <row r="12" spans="1:23" x14ac:dyDescent="0.25">
      <c r="A12" s="4">
        <v>3</v>
      </c>
      <c r="B12" s="4">
        <v>2354</v>
      </c>
      <c r="C12" s="4">
        <v>2880</v>
      </c>
      <c r="D12" s="4">
        <v>576063</v>
      </c>
      <c r="E12" s="4">
        <v>576064</v>
      </c>
      <c r="F12" s="4">
        <v>100000</v>
      </c>
      <c r="G12" s="4">
        <v>100032</v>
      </c>
      <c r="H12" s="4">
        <v>0</v>
      </c>
      <c r="I12" s="4">
        <v>4156</v>
      </c>
      <c r="J12" s="4">
        <v>200764</v>
      </c>
      <c r="K12" s="4">
        <v>200768</v>
      </c>
      <c r="M12" s="4">
        <v>3</v>
      </c>
      <c r="N12" s="4">
        <v>2370</v>
      </c>
      <c r="O12" s="4">
        <v>2859</v>
      </c>
      <c r="P12" s="4">
        <v>571859</v>
      </c>
      <c r="Q12" s="4">
        <v>571840</v>
      </c>
      <c r="R12" s="4">
        <v>100000</v>
      </c>
      <c r="S12" s="4">
        <v>100032</v>
      </c>
      <c r="T12" s="4">
        <v>491</v>
      </c>
      <c r="U12" s="4">
        <v>15687</v>
      </c>
      <c r="V12" s="4">
        <v>212295</v>
      </c>
      <c r="W12" s="4">
        <v>212288</v>
      </c>
    </row>
    <row r="13" spans="1:23" x14ac:dyDescent="0.25">
      <c r="A13" s="4">
        <v>4</v>
      </c>
      <c r="B13" s="4">
        <v>2354</v>
      </c>
      <c r="C13" s="4">
        <v>2880</v>
      </c>
      <c r="D13" s="4">
        <v>576110</v>
      </c>
      <c r="E13" s="4">
        <v>576128</v>
      </c>
      <c r="F13" s="4">
        <v>100000</v>
      </c>
      <c r="G13" s="4">
        <v>100032</v>
      </c>
      <c r="H13" s="4">
        <v>0</v>
      </c>
      <c r="I13" s="4">
        <v>4167</v>
      </c>
      <c r="J13" s="4">
        <v>200775</v>
      </c>
      <c r="K13" s="4">
        <v>200768</v>
      </c>
      <c r="M13" s="4">
        <v>4</v>
      </c>
      <c r="N13" s="4">
        <v>2370</v>
      </c>
      <c r="O13" s="4">
        <v>2860</v>
      </c>
      <c r="P13" s="4">
        <v>571984</v>
      </c>
      <c r="Q13" s="4">
        <v>571968</v>
      </c>
      <c r="R13" s="4">
        <v>100000</v>
      </c>
      <c r="S13" s="4">
        <v>100032</v>
      </c>
      <c r="T13" s="4">
        <v>489</v>
      </c>
      <c r="U13" s="4">
        <v>15652</v>
      </c>
      <c r="V13" s="4">
        <v>212260</v>
      </c>
      <c r="W13" s="4">
        <v>212288</v>
      </c>
    </row>
    <row r="14" spans="1:23" x14ac:dyDescent="0.25">
      <c r="A14" s="4">
        <v>5</v>
      </c>
      <c r="B14" s="4">
        <v>2355</v>
      </c>
      <c r="C14" s="4">
        <v>2879</v>
      </c>
      <c r="D14" s="4">
        <v>575984</v>
      </c>
      <c r="E14" s="4">
        <v>576000</v>
      </c>
      <c r="F14" s="4">
        <v>100000</v>
      </c>
      <c r="G14" s="4">
        <v>100032</v>
      </c>
      <c r="H14" s="4">
        <v>0</v>
      </c>
      <c r="I14" s="4">
        <v>4398</v>
      </c>
      <c r="J14" s="4">
        <v>201006</v>
      </c>
      <c r="K14" s="4">
        <v>201024</v>
      </c>
      <c r="M14" s="4">
        <v>5</v>
      </c>
      <c r="N14" s="4">
        <v>2369</v>
      </c>
      <c r="O14" s="4">
        <v>2861</v>
      </c>
      <c r="P14" s="4">
        <v>572313</v>
      </c>
      <c r="Q14" s="4">
        <v>572288</v>
      </c>
      <c r="R14" s="4">
        <v>100000</v>
      </c>
      <c r="S14" s="4">
        <v>100032</v>
      </c>
      <c r="T14" s="4">
        <v>490</v>
      </c>
      <c r="U14" s="4">
        <v>15672</v>
      </c>
      <c r="V14" s="4">
        <v>212280</v>
      </c>
      <c r="W14" s="4">
        <v>212288</v>
      </c>
    </row>
    <row r="15" spans="1:23" x14ac:dyDescent="0.25">
      <c r="A15" s="4">
        <v>6</v>
      </c>
      <c r="B15" s="4">
        <v>2355</v>
      </c>
      <c r="C15" s="4">
        <v>2878</v>
      </c>
      <c r="D15" s="4">
        <v>575703</v>
      </c>
      <c r="E15" s="4">
        <v>575680</v>
      </c>
      <c r="F15" s="4">
        <v>100000</v>
      </c>
      <c r="G15" s="4">
        <v>100032</v>
      </c>
      <c r="H15" s="4">
        <v>0</v>
      </c>
      <c r="I15" s="4">
        <v>4391</v>
      </c>
      <c r="J15" s="4">
        <v>200999</v>
      </c>
      <c r="K15" s="4">
        <v>201024</v>
      </c>
      <c r="M15" s="4">
        <v>6</v>
      </c>
      <c r="N15" s="4">
        <v>2367</v>
      </c>
      <c r="O15" s="4">
        <v>2863</v>
      </c>
      <c r="P15" s="4">
        <v>572531</v>
      </c>
      <c r="Q15" s="4">
        <v>572544</v>
      </c>
      <c r="R15" s="4">
        <v>100000</v>
      </c>
      <c r="S15" s="4">
        <v>100032</v>
      </c>
      <c r="T15" s="4">
        <v>494</v>
      </c>
      <c r="U15" s="4">
        <v>15766</v>
      </c>
      <c r="V15" s="4">
        <v>212374</v>
      </c>
      <c r="W15" s="4">
        <v>212352</v>
      </c>
    </row>
    <row r="16" spans="1:23" x14ac:dyDescent="0.25">
      <c r="A16" s="4">
        <v>7</v>
      </c>
      <c r="B16" s="4">
        <v>2355</v>
      </c>
      <c r="C16" s="4">
        <v>2878</v>
      </c>
      <c r="D16" s="4">
        <v>575547</v>
      </c>
      <c r="E16" s="4">
        <v>575552</v>
      </c>
      <c r="F16" s="4">
        <v>100000</v>
      </c>
      <c r="G16" s="4">
        <v>100032</v>
      </c>
      <c r="H16" s="4">
        <v>0</v>
      </c>
      <c r="I16" s="4">
        <v>4406</v>
      </c>
      <c r="J16" s="4">
        <v>201014</v>
      </c>
      <c r="K16" s="4">
        <v>201024</v>
      </c>
      <c r="M16" s="4">
        <v>7</v>
      </c>
      <c r="N16" s="4">
        <v>2366</v>
      </c>
      <c r="O16" s="4">
        <v>2864</v>
      </c>
      <c r="P16" s="4">
        <v>572734</v>
      </c>
      <c r="Q16" s="4">
        <v>572736</v>
      </c>
      <c r="R16" s="4">
        <v>100000</v>
      </c>
      <c r="S16" s="4">
        <v>100032</v>
      </c>
      <c r="T16" s="4">
        <v>496</v>
      </c>
      <c r="U16" s="4">
        <v>15806</v>
      </c>
      <c r="V16" s="4">
        <v>212414</v>
      </c>
      <c r="W16" s="4">
        <v>212416</v>
      </c>
    </row>
    <row r="17" spans="1:23" x14ac:dyDescent="0.25">
      <c r="A17" s="4">
        <v>8</v>
      </c>
      <c r="B17" s="4">
        <v>2357</v>
      </c>
      <c r="C17" s="4">
        <v>2876</v>
      </c>
      <c r="D17" s="4">
        <v>575375</v>
      </c>
      <c r="E17" s="4">
        <v>575360</v>
      </c>
      <c r="F17" s="4">
        <v>100000</v>
      </c>
      <c r="G17" s="4">
        <v>100032</v>
      </c>
      <c r="H17" s="4">
        <v>0</v>
      </c>
      <c r="I17" s="4">
        <v>4392</v>
      </c>
      <c r="J17" s="4">
        <v>201000</v>
      </c>
      <c r="K17" s="4">
        <v>201024</v>
      </c>
      <c r="M17" s="4">
        <v>8</v>
      </c>
      <c r="N17" s="4">
        <v>2366</v>
      </c>
      <c r="O17" s="4">
        <v>2865</v>
      </c>
      <c r="P17" s="4">
        <v>573016</v>
      </c>
      <c r="Q17" s="4">
        <v>572992</v>
      </c>
      <c r="R17" s="4">
        <v>100000</v>
      </c>
      <c r="S17" s="4">
        <v>100032</v>
      </c>
      <c r="T17" s="4">
        <v>494</v>
      </c>
      <c r="U17" s="4">
        <v>15759</v>
      </c>
      <c r="V17" s="4">
        <v>212367</v>
      </c>
      <c r="W17" s="4">
        <v>212352</v>
      </c>
    </row>
    <row r="18" spans="1:23" x14ac:dyDescent="0.25">
      <c r="A18" s="4">
        <v>9</v>
      </c>
      <c r="B18" s="4">
        <v>2358</v>
      </c>
      <c r="C18" s="4">
        <v>2875</v>
      </c>
      <c r="D18" s="4">
        <v>575125</v>
      </c>
      <c r="E18" s="4">
        <v>575104</v>
      </c>
      <c r="F18" s="4">
        <v>100000</v>
      </c>
      <c r="G18" s="4">
        <v>100032</v>
      </c>
      <c r="H18" s="4">
        <v>0</v>
      </c>
      <c r="I18" s="4">
        <v>4240</v>
      </c>
      <c r="J18" s="4">
        <v>200848</v>
      </c>
      <c r="K18" s="4">
        <v>200832</v>
      </c>
      <c r="M18" s="4">
        <v>9</v>
      </c>
      <c r="N18" s="4">
        <v>2366</v>
      </c>
      <c r="O18" s="4">
        <v>2865</v>
      </c>
      <c r="P18" s="4">
        <v>573125</v>
      </c>
      <c r="Q18" s="4">
        <v>573120</v>
      </c>
      <c r="R18" s="4">
        <v>100000</v>
      </c>
      <c r="S18" s="4">
        <v>100032</v>
      </c>
      <c r="T18" s="4">
        <v>483</v>
      </c>
      <c r="U18" s="4">
        <v>15513</v>
      </c>
      <c r="V18" s="4">
        <v>212121</v>
      </c>
      <c r="W18" s="4">
        <v>212096</v>
      </c>
    </row>
    <row r="19" spans="1:23" x14ac:dyDescent="0.25">
      <c r="A19" s="4">
        <v>10</v>
      </c>
      <c r="B19" s="4">
        <v>2359</v>
      </c>
      <c r="C19" s="4">
        <v>2874</v>
      </c>
      <c r="D19" s="4">
        <v>574984</v>
      </c>
      <c r="E19" s="4">
        <v>574976</v>
      </c>
      <c r="F19" s="4">
        <v>100000</v>
      </c>
      <c r="G19" s="4">
        <v>100032</v>
      </c>
      <c r="H19" s="4">
        <v>0</v>
      </c>
      <c r="I19" s="4">
        <v>4318</v>
      </c>
      <c r="J19" s="4">
        <v>200926</v>
      </c>
      <c r="K19" s="4">
        <v>200896</v>
      </c>
      <c r="M19" s="4">
        <v>10</v>
      </c>
      <c r="N19" s="4">
        <v>2364</v>
      </c>
      <c r="O19" s="4">
        <v>2867</v>
      </c>
      <c r="P19" s="4">
        <v>573250</v>
      </c>
      <c r="Q19" s="4">
        <v>573248</v>
      </c>
      <c r="R19" s="4">
        <v>100000</v>
      </c>
      <c r="S19" s="4">
        <v>100032</v>
      </c>
      <c r="T19" s="4">
        <v>488</v>
      </c>
      <c r="U19" s="4">
        <v>15616</v>
      </c>
      <c r="V19" s="4">
        <v>212224</v>
      </c>
      <c r="W19" s="4">
        <v>212224</v>
      </c>
    </row>
    <row r="20" spans="1:23" x14ac:dyDescent="0.25">
      <c r="A20" s="4">
        <v>11</v>
      </c>
      <c r="B20" s="4">
        <v>2359</v>
      </c>
      <c r="C20" s="4">
        <v>2874</v>
      </c>
      <c r="D20" s="4">
        <v>574813</v>
      </c>
      <c r="E20" s="4">
        <v>574784</v>
      </c>
      <c r="F20" s="4">
        <v>100000</v>
      </c>
      <c r="G20" s="4">
        <v>100032</v>
      </c>
      <c r="H20" s="4">
        <v>0</v>
      </c>
      <c r="I20" s="4">
        <v>4346</v>
      </c>
      <c r="J20" s="4">
        <v>200954</v>
      </c>
      <c r="K20" s="4">
        <v>200960</v>
      </c>
      <c r="M20" s="4">
        <v>11</v>
      </c>
      <c r="N20" s="4">
        <v>2363</v>
      </c>
      <c r="O20" s="4">
        <v>2868</v>
      </c>
      <c r="P20" s="4">
        <v>573687</v>
      </c>
      <c r="Q20" s="4">
        <v>573696</v>
      </c>
      <c r="R20" s="4">
        <v>100000</v>
      </c>
      <c r="S20" s="4">
        <v>100032</v>
      </c>
      <c r="T20" s="4">
        <v>474</v>
      </c>
      <c r="U20" s="4">
        <v>15299</v>
      </c>
      <c r="V20" s="4">
        <v>211907</v>
      </c>
      <c r="W20" s="4">
        <v>211904</v>
      </c>
    </row>
    <row r="21" spans="1:23" x14ac:dyDescent="0.25">
      <c r="A21" s="4">
        <v>12</v>
      </c>
      <c r="B21" s="4">
        <v>2359</v>
      </c>
      <c r="C21" s="4">
        <v>2873</v>
      </c>
      <c r="D21" s="4">
        <v>574750</v>
      </c>
      <c r="E21" s="4">
        <v>574720</v>
      </c>
      <c r="F21" s="4">
        <v>100000</v>
      </c>
      <c r="G21" s="4">
        <v>100032</v>
      </c>
      <c r="H21" s="4">
        <v>0</v>
      </c>
      <c r="I21" s="4">
        <v>4277</v>
      </c>
      <c r="J21" s="4">
        <v>200885</v>
      </c>
      <c r="K21" s="4">
        <v>200896</v>
      </c>
      <c r="M21" s="4">
        <v>12</v>
      </c>
      <c r="N21" s="4">
        <v>2362</v>
      </c>
      <c r="O21" s="4">
        <v>2870</v>
      </c>
      <c r="P21" s="4">
        <v>573984</v>
      </c>
      <c r="Q21" s="4">
        <v>574016</v>
      </c>
      <c r="R21" s="4">
        <v>100000</v>
      </c>
      <c r="S21" s="4">
        <v>100032</v>
      </c>
      <c r="T21" s="4">
        <v>387</v>
      </c>
      <c r="U21" s="4">
        <v>13358</v>
      </c>
      <c r="V21" s="4">
        <v>209966</v>
      </c>
      <c r="W21" s="4">
        <v>209984</v>
      </c>
    </row>
    <row r="22" spans="1:23" x14ac:dyDescent="0.25">
      <c r="A22" s="4">
        <v>13</v>
      </c>
      <c r="B22" s="4">
        <v>2359</v>
      </c>
      <c r="C22" s="4">
        <v>2874</v>
      </c>
      <c r="D22" s="4">
        <v>574782</v>
      </c>
      <c r="E22" s="4">
        <v>574784</v>
      </c>
      <c r="F22" s="4">
        <v>100000</v>
      </c>
      <c r="G22" s="4">
        <v>100032</v>
      </c>
      <c r="H22" s="4">
        <v>0</v>
      </c>
      <c r="I22" s="4">
        <v>4441</v>
      </c>
      <c r="J22" s="4">
        <v>201049</v>
      </c>
      <c r="K22" s="4">
        <v>201024</v>
      </c>
      <c r="M22" s="4">
        <v>13</v>
      </c>
      <c r="N22" s="4">
        <v>2361</v>
      </c>
      <c r="O22" s="4">
        <v>2871</v>
      </c>
      <c r="P22" s="4">
        <v>574188</v>
      </c>
      <c r="Q22" s="4">
        <v>574208</v>
      </c>
      <c r="R22" s="4">
        <v>100000</v>
      </c>
      <c r="S22" s="4">
        <v>100032</v>
      </c>
      <c r="T22" s="4">
        <v>495</v>
      </c>
      <c r="U22" s="4">
        <v>15771</v>
      </c>
      <c r="V22" s="4">
        <v>212379</v>
      </c>
      <c r="W22" s="4">
        <v>212352</v>
      </c>
    </row>
    <row r="23" spans="1:23" x14ac:dyDescent="0.25">
      <c r="A23" s="4">
        <v>14</v>
      </c>
      <c r="B23" s="4">
        <v>2359</v>
      </c>
      <c r="C23" s="4">
        <v>2874</v>
      </c>
      <c r="D23" s="4">
        <v>574813</v>
      </c>
      <c r="E23" s="4">
        <v>574784</v>
      </c>
      <c r="F23" s="4">
        <v>100000</v>
      </c>
      <c r="G23" s="4">
        <v>100032</v>
      </c>
      <c r="H23" s="4">
        <v>0</v>
      </c>
      <c r="I23" s="4">
        <v>4289</v>
      </c>
      <c r="J23" s="4">
        <v>200897</v>
      </c>
      <c r="K23" s="4">
        <v>200896</v>
      </c>
      <c r="M23" s="4">
        <v>14</v>
      </c>
      <c r="N23" s="4">
        <v>2360</v>
      </c>
      <c r="O23" s="4">
        <v>2872</v>
      </c>
      <c r="P23" s="4">
        <v>574406</v>
      </c>
      <c r="Q23" s="4">
        <v>574400</v>
      </c>
      <c r="R23" s="4">
        <v>100000</v>
      </c>
      <c r="S23" s="4">
        <v>100032</v>
      </c>
      <c r="T23" s="4">
        <v>492</v>
      </c>
      <c r="U23" s="4">
        <v>15717</v>
      </c>
      <c r="V23" s="4">
        <v>212325</v>
      </c>
      <c r="W23" s="4">
        <v>212352</v>
      </c>
    </row>
    <row r="24" spans="1:23" x14ac:dyDescent="0.25">
      <c r="A24" s="4">
        <v>15</v>
      </c>
      <c r="B24" s="4">
        <v>2359</v>
      </c>
      <c r="C24" s="4">
        <v>2874</v>
      </c>
      <c r="D24" s="4">
        <v>574782</v>
      </c>
      <c r="E24" s="4">
        <v>574784</v>
      </c>
      <c r="F24" s="4">
        <v>100000</v>
      </c>
      <c r="G24" s="4">
        <v>100032</v>
      </c>
      <c r="H24" s="4">
        <v>0</v>
      </c>
      <c r="I24" s="4">
        <v>4188</v>
      </c>
      <c r="J24" s="4">
        <v>200796</v>
      </c>
      <c r="K24" s="4">
        <v>200768</v>
      </c>
      <c r="M24" s="4">
        <v>15</v>
      </c>
      <c r="N24" s="4">
        <v>2360</v>
      </c>
      <c r="O24" s="4">
        <v>2872</v>
      </c>
      <c r="P24" s="4">
        <v>574515</v>
      </c>
      <c r="Q24" s="4">
        <v>574528</v>
      </c>
      <c r="R24" s="4">
        <v>100000</v>
      </c>
      <c r="S24" s="4">
        <v>100032</v>
      </c>
      <c r="T24" s="4">
        <v>497</v>
      </c>
      <c r="U24" s="4">
        <v>15834</v>
      </c>
      <c r="V24" s="4">
        <v>212442</v>
      </c>
      <c r="W24" s="4">
        <v>212416</v>
      </c>
    </row>
    <row r="25" spans="1:23" x14ac:dyDescent="0.25">
      <c r="A25" s="4">
        <v>16</v>
      </c>
      <c r="B25" s="4">
        <v>2359</v>
      </c>
      <c r="C25" s="4">
        <v>2874</v>
      </c>
      <c r="D25" s="4">
        <v>574766</v>
      </c>
      <c r="E25" s="4">
        <v>574784</v>
      </c>
      <c r="F25" s="4">
        <v>100000</v>
      </c>
      <c r="G25" s="4">
        <v>100032</v>
      </c>
      <c r="H25" s="4">
        <v>0</v>
      </c>
      <c r="I25" s="4">
        <v>4233</v>
      </c>
      <c r="J25" s="4">
        <v>200841</v>
      </c>
      <c r="K25" s="4">
        <v>200832</v>
      </c>
      <c r="M25" s="4">
        <v>16</v>
      </c>
      <c r="N25" s="4">
        <v>2360</v>
      </c>
      <c r="O25" s="4">
        <v>2872</v>
      </c>
      <c r="P25" s="4">
        <v>574578</v>
      </c>
      <c r="Q25" s="4">
        <v>574592</v>
      </c>
      <c r="R25" s="4">
        <v>100000</v>
      </c>
      <c r="S25" s="4">
        <v>100032</v>
      </c>
      <c r="T25" s="4">
        <v>496</v>
      </c>
      <c r="U25" s="4">
        <v>15802</v>
      </c>
      <c r="V25" s="4">
        <v>212410</v>
      </c>
      <c r="W25" s="4">
        <v>212416</v>
      </c>
    </row>
    <row r="26" spans="1:23" x14ac:dyDescent="0.25">
      <c r="A26" s="4">
        <v>17</v>
      </c>
      <c r="B26" s="4">
        <v>2359</v>
      </c>
      <c r="C26" s="4">
        <v>2874</v>
      </c>
      <c r="D26" s="4">
        <v>574766</v>
      </c>
      <c r="E26" s="4">
        <v>574784</v>
      </c>
      <c r="F26" s="4">
        <v>100000</v>
      </c>
      <c r="G26" s="4">
        <v>100032</v>
      </c>
      <c r="H26" s="4">
        <v>0</v>
      </c>
      <c r="I26" s="4">
        <v>4302</v>
      </c>
      <c r="J26" s="4">
        <v>200910</v>
      </c>
      <c r="K26" s="4">
        <v>200896</v>
      </c>
      <c r="M26" s="4">
        <v>17</v>
      </c>
      <c r="N26" s="4">
        <v>2361</v>
      </c>
      <c r="O26" s="4">
        <v>2871</v>
      </c>
      <c r="P26" s="4">
        <v>574360</v>
      </c>
      <c r="Q26" s="4">
        <v>574336</v>
      </c>
      <c r="R26" s="4">
        <v>100000</v>
      </c>
      <c r="S26" s="4">
        <v>100032</v>
      </c>
      <c r="T26" s="4">
        <v>499</v>
      </c>
      <c r="U26" s="4">
        <v>15868</v>
      </c>
      <c r="V26" s="4">
        <v>212476</v>
      </c>
      <c r="W26" s="4">
        <v>212480</v>
      </c>
    </row>
    <row r="27" spans="1:23" x14ac:dyDescent="0.25">
      <c r="A27" s="4">
        <v>18</v>
      </c>
      <c r="B27" s="4">
        <v>2359</v>
      </c>
      <c r="C27" s="4">
        <v>2874</v>
      </c>
      <c r="D27" s="4">
        <v>574875</v>
      </c>
      <c r="E27" s="4">
        <v>574848</v>
      </c>
      <c r="F27" s="4">
        <v>100000</v>
      </c>
      <c r="G27" s="4">
        <v>100032</v>
      </c>
      <c r="H27" s="4">
        <v>0</v>
      </c>
      <c r="I27" s="4">
        <v>4374</v>
      </c>
      <c r="J27" s="4">
        <v>200982</v>
      </c>
      <c r="K27" s="4">
        <v>200960</v>
      </c>
      <c r="M27" s="4">
        <v>18</v>
      </c>
      <c r="N27" s="4">
        <v>2361</v>
      </c>
      <c r="O27" s="4">
        <v>2871</v>
      </c>
      <c r="P27" s="4">
        <v>574172</v>
      </c>
      <c r="Q27" s="4">
        <v>574144</v>
      </c>
      <c r="R27" s="4">
        <v>100000</v>
      </c>
      <c r="S27" s="4">
        <v>100032</v>
      </c>
      <c r="T27" s="4">
        <v>488</v>
      </c>
      <c r="U27" s="4">
        <v>15626</v>
      </c>
      <c r="V27" s="4">
        <v>212234</v>
      </c>
      <c r="W27" s="4">
        <v>212224</v>
      </c>
    </row>
    <row r="28" spans="1:23" x14ac:dyDescent="0.25">
      <c r="A28" s="4">
        <v>19</v>
      </c>
      <c r="B28" s="4">
        <v>2358</v>
      </c>
      <c r="C28" s="4">
        <v>2875</v>
      </c>
      <c r="D28" s="4">
        <v>575063</v>
      </c>
      <c r="E28" s="4">
        <v>575040</v>
      </c>
      <c r="F28" s="4">
        <v>100000</v>
      </c>
      <c r="G28" s="4">
        <v>100032</v>
      </c>
      <c r="H28" s="4">
        <v>0</v>
      </c>
      <c r="I28" s="4">
        <v>4351</v>
      </c>
      <c r="J28" s="4">
        <v>200959</v>
      </c>
      <c r="K28" s="4">
        <v>200960</v>
      </c>
      <c r="M28" s="4">
        <v>19</v>
      </c>
      <c r="N28" s="4">
        <v>2360</v>
      </c>
      <c r="O28" s="4">
        <v>2872</v>
      </c>
      <c r="P28" s="4">
        <v>574281</v>
      </c>
      <c r="Q28" s="4">
        <v>574272</v>
      </c>
      <c r="R28" s="4">
        <v>100000</v>
      </c>
      <c r="S28" s="4">
        <v>100032</v>
      </c>
      <c r="T28" s="4">
        <v>482</v>
      </c>
      <c r="U28" s="4">
        <v>15478</v>
      </c>
      <c r="V28" s="4">
        <v>212086</v>
      </c>
      <c r="W28" s="4">
        <v>212096</v>
      </c>
    </row>
    <row r="29" spans="1:23" x14ac:dyDescent="0.25">
      <c r="A29" s="4">
        <v>20</v>
      </c>
      <c r="B29" s="4">
        <v>2357</v>
      </c>
      <c r="C29" s="4">
        <v>2876</v>
      </c>
      <c r="D29" s="4">
        <v>575235</v>
      </c>
      <c r="E29" s="4">
        <v>575232</v>
      </c>
      <c r="F29" s="4">
        <v>100000</v>
      </c>
      <c r="G29" s="4">
        <v>100032</v>
      </c>
      <c r="H29" s="4">
        <v>0</v>
      </c>
      <c r="I29" s="4">
        <v>4548</v>
      </c>
      <c r="J29" s="4">
        <v>201156</v>
      </c>
      <c r="K29" s="4">
        <v>201152</v>
      </c>
      <c r="M29" s="4">
        <v>20</v>
      </c>
      <c r="N29" s="4">
        <v>2359</v>
      </c>
      <c r="O29" s="4">
        <v>2873</v>
      </c>
      <c r="P29" s="4">
        <v>574531</v>
      </c>
      <c r="Q29" s="4">
        <v>574528</v>
      </c>
      <c r="R29" s="4">
        <v>100000</v>
      </c>
      <c r="S29" s="4">
        <v>100032</v>
      </c>
      <c r="T29" s="4">
        <v>509</v>
      </c>
      <c r="U29" s="4">
        <v>16090</v>
      </c>
      <c r="V29" s="4">
        <v>212698</v>
      </c>
      <c r="W29" s="4">
        <v>212672</v>
      </c>
    </row>
    <row r="30" spans="1:23" x14ac:dyDescent="0.25">
      <c r="A30" s="4">
        <v>21</v>
      </c>
      <c r="B30" s="4">
        <v>2356</v>
      </c>
      <c r="C30" s="4">
        <v>2877</v>
      </c>
      <c r="D30" s="4">
        <v>575422</v>
      </c>
      <c r="E30" s="4">
        <v>575424</v>
      </c>
      <c r="F30" s="4">
        <v>100000</v>
      </c>
      <c r="G30" s="4">
        <v>100032</v>
      </c>
      <c r="H30" s="4">
        <v>0</v>
      </c>
      <c r="I30" s="4">
        <v>4523</v>
      </c>
      <c r="J30" s="4">
        <v>201131</v>
      </c>
      <c r="K30" s="4">
        <v>201152</v>
      </c>
      <c r="M30" s="4">
        <v>21</v>
      </c>
      <c r="N30" s="4">
        <v>2359</v>
      </c>
      <c r="O30" s="4">
        <v>2874</v>
      </c>
      <c r="P30" s="4">
        <v>574891</v>
      </c>
      <c r="Q30" s="4">
        <v>574912</v>
      </c>
      <c r="R30" s="4">
        <v>100000</v>
      </c>
      <c r="S30" s="4">
        <v>100032</v>
      </c>
      <c r="T30" s="4">
        <v>495</v>
      </c>
      <c r="U30" s="4">
        <v>15775</v>
      </c>
      <c r="V30" s="4">
        <v>212383</v>
      </c>
      <c r="W30" s="4">
        <v>212352</v>
      </c>
    </row>
    <row r="31" spans="1:23" x14ac:dyDescent="0.25">
      <c r="A31" s="4">
        <v>22</v>
      </c>
      <c r="B31" s="4">
        <v>2355</v>
      </c>
      <c r="C31" s="4">
        <v>2878</v>
      </c>
      <c r="D31" s="4">
        <v>575547</v>
      </c>
      <c r="E31" s="4">
        <v>575552</v>
      </c>
      <c r="F31" s="4">
        <v>100000</v>
      </c>
      <c r="G31" s="4">
        <v>100032</v>
      </c>
      <c r="H31" s="4">
        <v>0</v>
      </c>
      <c r="I31" s="4">
        <v>4558</v>
      </c>
      <c r="J31" s="4">
        <v>201166</v>
      </c>
      <c r="K31" s="4">
        <v>201152</v>
      </c>
      <c r="M31" s="4">
        <v>22</v>
      </c>
      <c r="N31" s="4">
        <v>2358</v>
      </c>
      <c r="O31" s="4">
        <v>2875</v>
      </c>
      <c r="P31" s="4">
        <v>575062</v>
      </c>
      <c r="Q31" s="4">
        <v>575040</v>
      </c>
      <c r="R31" s="4">
        <v>100000</v>
      </c>
      <c r="S31" s="4">
        <v>100032</v>
      </c>
      <c r="T31" s="4">
        <v>497</v>
      </c>
      <c r="U31" s="4">
        <v>15836</v>
      </c>
      <c r="V31" s="4">
        <v>212444</v>
      </c>
      <c r="W31" s="4">
        <v>212416</v>
      </c>
    </row>
    <row r="32" spans="1:23" x14ac:dyDescent="0.25">
      <c r="A32" s="4">
        <v>23</v>
      </c>
      <c r="B32" s="4">
        <v>2356</v>
      </c>
      <c r="C32" s="4">
        <v>2877</v>
      </c>
      <c r="D32" s="4">
        <v>575406</v>
      </c>
      <c r="E32" s="4">
        <v>575424</v>
      </c>
      <c r="F32" s="4">
        <v>100000</v>
      </c>
      <c r="G32" s="4">
        <v>100032</v>
      </c>
      <c r="H32" s="4">
        <v>0</v>
      </c>
      <c r="I32" s="4">
        <v>4323</v>
      </c>
      <c r="J32" s="4">
        <v>200931</v>
      </c>
      <c r="K32" s="4">
        <v>200960</v>
      </c>
      <c r="M32" s="4">
        <v>23</v>
      </c>
      <c r="N32" s="4">
        <v>2360</v>
      </c>
      <c r="O32" s="4">
        <v>2872</v>
      </c>
      <c r="P32" s="4">
        <v>574812</v>
      </c>
      <c r="Q32" s="4">
        <v>574784</v>
      </c>
      <c r="R32" s="4">
        <v>100000</v>
      </c>
      <c r="S32" s="4">
        <v>100032</v>
      </c>
      <c r="T32" s="4">
        <v>493</v>
      </c>
      <c r="U32" s="4">
        <v>15728</v>
      </c>
      <c r="V32" s="4">
        <v>212336</v>
      </c>
      <c r="W32" s="4">
        <v>212352</v>
      </c>
    </row>
    <row r="33" spans="1:23" x14ac:dyDescent="0.25">
      <c r="A33" s="4">
        <v>24</v>
      </c>
      <c r="B33" s="4">
        <v>2357</v>
      </c>
      <c r="C33" s="4">
        <v>2876</v>
      </c>
      <c r="D33" s="4">
        <v>575234</v>
      </c>
      <c r="E33" s="4">
        <v>575232</v>
      </c>
      <c r="F33" s="4">
        <v>100000</v>
      </c>
      <c r="G33" s="4">
        <v>100032</v>
      </c>
      <c r="H33" s="4">
        <v>0</v>
      </c>
      <c r="I33" s="4">
        <v>4238</v>
      </c>
      <c r="J33" s="4">
        <v>200846</v>
      </c>
      <c r="K33" s="4">
        <v>200832</v>
      </c>
      <c r="M33" s="4">
        <v>24</v>
      </c>
      <c r="N33" s="4">
        <v>2363</v>
      </c>
      <c r="O33" s="4">
        <v>2869</v>
      </c>
      <c r="P33" s="4">
        <v>574172</v>
      </c>
      <c r="Q33" s="4">
        <v>574144</v>
      </c>
      <c r="R33" s="4">
        <v>100000</v>
      </c>
      <c r="S33" s="4">
        <v>100032</v>
      </c>
      <c r="T33" s="4">
        <v>480</v>
      </c>
      <c r="U33" s="4">
        <v>15440</v>
      </c>
      <c r="V33" s="4">
        <v>212048</v>
      </c>
      <c r="W33" s="4">
        <v>212032</v>
      </c>
    </row>
    <row r="34" spans="1:23" x14ac:dyDescent="0.25">
      <c r="A34" s="4">
        <v>25</v>
      </c>
      <c r="B34" s="4">
        <v>2357</v>
      </c>
      <c r="C34" s="4">
        <v>2876</v>
      </c>
      <c r="D34" s="4">
        <v>575140</v>
      </c>
      <c r="E34" s="4">
        <v>575168</v>
      </c>
      <c r="F34" s="4">
        <v>100000</v>
      </c>
      <c r="G34" s="4">
        <v>100032</v>
      </c>
      <c r="H34" s="4">
        <v>0</v>
      </c>
      <c r="I34" s="4">
        <v>4289</v>
      </c>
      <c r="J34" s="4">
        <v>200897</v>
      </c>
      <c r="K34" s="4">
        <v>200896</v>
      </c>
      <c r="M34" s="4">
        <v>25</v>
      </c>
      <c r="N34" s="4">
        <v>2366</v>
      </c>
      <c r="O34" s="4">
        <v>2865</v>
      </c>
      <c r="P34" s="4">
        <v>573078</v>
      </c>
      <c r="Q34" s="4">
        <v>573056</v>
      </c>
      <c r="R34" s="4">
        <v>100000</v>
      </c>
      <c r="S34" s="4">
        <v>100032</v>
      </c>
      <c r="T34" s="4">
        <v>492</v>
      </c>
      <c r="U34" s="4">
        <v>15717</v>
      </c>
      <c r="V34" s="4">
        <v>212325</v>
      </c>
      <c r="W34" s="4">
        <v>212352</v>
      </c>
    </row>
    <row r="35" spans="1:23" x14ac:dyDescent="0.25">
      <c r="A35" s="4">
        <v>26</v>
      </c>
      <c r="B35" s="4">
        <v>2357</v>
      </c>
      <c r="C35" s="4">
        <v>2876</v>
      </c>
      <c r="D35" s="4">
        <v>575203</v>
      </c>
      <c r="E35" s="4">
        <v>575232</v>
      </c>
      <c r="F35" s="4">
        <v>100000</v>
      </c>
      <c r="G35" s="4">
        <v>100032</v>
      </c>
      <c r="H35" s="4">
        <v>0</v>
      </c>
      <c r="I35" s="4">
        <v>4421</v>
      </c>
      <c r="J35" s="4">
        <v>201029</v>
      </c>
      <c r="K35" s="4">
        <v>201024</v>
      </c>
      <c r="M35" s="4">
        <v>26</v>
      </c>
      <c r="N35" s="4">
        <v>2366</v>
      </c>
      <c r="O35" s="4">
        <v>2864</v>
      </c>
      <c r="P35" s="4">
        <v>572781</v>
      </c>
      <c r="Q35" s="4">
        <v>572800</v>
      </c>
      <c r="R35" s="4">
        <v>100000</v>
      </c>
      <c r="S35" s="4">
        <v>100032</v>
      </c>
      <c r="T35" s="4">
        <v>463</v>
      </c>
      <c r="U35" s="4">
        <v>15071</v>
      </c>
      <c r="V35" s="4">
        <v>211679</v>
      </c>
      <c r="W35" s="4">
        <v>211648</v>
      </c>
    </row>
    <row r="36" spans="1:23" x14ac:dyDescent="0.25">
      <c r="A36" s="4">
        <v>27</v>
      </c>
      <c r="B36" s="4">
        <v>2357</v>
      </c>
      <c r="C36" s="4">
        <v>2876</v>
      </c>
      <c r="D36" s="4">
        <v>575282</v>
      </c>
      <c r="E36" s="4">
        <v>575296</v>
      </c>
      <c r="F36" s="4">
        <v>100000</v>
      </c>
      <c r="G36" s="4">
        <v>100032</v>
      </c>
      <c r="H36" s="4">
        <v>0</v>
      </c>
      <c r="I36" s="4">
        <v>4614</v>
      </c>
      <c r="J36" s="4">
        <v>201222</v>
      </c>
      <c r="K36" s="4">
        <v>201216</v>
      </c>
      <c r="M36" s="4">
        <v>27</v>
      </c>
      <c r="N36" s="4">
        <v>2366</v>
      </c>
      <c r="O36" s="4">
        <v>2864</v>
      </c>
      <c r="P36" s="4">
        <v>572875</v>
      </c>
      <c r="Q36" s="4">
        <v>572864</v>
      </c>
      <c r="R36" s="4">
        <v>100000</v>
      </c>
      <c r="S36" s="4">
        <v>100032</v>
      </c>
      <c r="T36" s="4">
        <v>467</v>
      </c>
      <c r="U36" s="4">
        <v>15140</v>
      </c>
      <c r="V36" s="4">
        <v>211748</v>
      </c>
      <c r="W36" s="4">
        <v>211776</v>
      </c>
    </row>
    <row r="37" spans="1:23" x14ac:dyDescent="0.25">
      <c r="A37" s="4">
        <v>28</v>
      </c>
      <c r="B37" s="4">
        <v>2358</v>
      </c>
      <c r="C37" s="4">
        <v>2875</v>
      </c>
      <c r="D37" s="4">
        <v>575110</v>
      </c>
      <c r="E37" s="4">
        <v>575104</v>
      </c>
      <c r="F37" s="4">
        <v>100000</v>
      </c>
      <c r="G37" s="4">
        <v>100032</v>
      </c>
      <c r="H37" s="4">
        <v>0</v>
      </c>
      <c r="I37" s="4">
        <v>4658</v>
      </c>
      <c r="J37" s="4">
        <v>201266</v>
      </c>
      <c r="K37" s="4">
        <v>201280</v>
      </c>
      <c r="M37" s="4">
        <v>28</v>
      </c>
      <c r="N37" s="4">
        <v>2365</v>
      </c>
      <c r="O37" s="4">
        <v>2866</v>
      </c>
      <c r="P37" s="4">
        <v>573141</v>
      </c>
      <c r="Q37" s="4">
        <v>573120</v>
      </c>
      <c r="R37" s="4">
        <v>100000</v>
      </c>
      <c r="S37" s="4">
        <v>100032</v>
      </c>
      <c r="T37" s="4">
        <v>491</v>
      </c>
      <c r="U37" s="4">
        <v>15682</v>
      </c>
      <c r="V37" s="4">
        <v>212290</v>
      </c>
      <c r="W37" s="4">
        <v>212288</v>
      </c>
    </row>
    <row r="38" spans="1:23" x14ac:dyDescent="0.25">
      <c r="A38" s="4">
        <v>29</v>
      </c>
      <c r="B38" s="4">
        <v>2359</v>
      </c>
      <c r="C38" s="4">
        <v>2874</v>
      </c>
      <c r="D38" s="4">
        <v>574860</v>
      </c>
      <c r="E38" s="4">
        <v>574848</v>
      </c>
      <c r="F38" s="4">
        <v>100000</v>
      </c>
      <c r="G38" s="4">
        <v>100032</v>
      </c>
      <c r="H38" s="4">
        <v>0</v>
      </c>
      <c r="I38" s="4">
        <v>4358</v>
      </c>
      <c r="J38" s="4">
        <v>200966</v>
      </c>
      <c r="K38" s="4">
        <v>200960</v>
      </c>
      <c r="M38" s="4">
        <v>29</v>
      </c>
      <c r="N38" s="4">
        <v>2363</v>
      </c>
      <c r="O38" s="4">
        <v>2868</v>
      </c>
      <c r="P38" s="4">
        <v>573453</v>
      </c>
      <c r="Q38" s="4">
        <v>573440</v>
      </c>
      <c r="R38" s="4">
        <v>100000</v>
      </c>
      <c r="S38" s="4">
        <v>100032</v>
      </c>
      <c r="T38" s="4">
        <v>498</v>
      </c>
      <c r="U38" s="4">
        <v>15853</v>
      </c>
      <c r="V38" s="4">
        <v>212461</v>
      </c>
      <c r="W38" s="4">
        <v>212480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G1008"/>
  <sheetViews>
    <sheetView tabSelected="1" topLeftCell="O1" workbookViewId="0">
      <selection activeCell="AC9" sqref="AC9"/>
    </sheetView>
  </sheetViews>
  <sheetFormatPr defaultRowHeight="15" x14ac:dyDescent="0.25"/>
  <cols>
    <col min="2" max="2" width="9.7109375" bestFit="1" customWidth="1"/>
  </cols>
  <sheetData>
    <row r="1" spans="1:33" x14ac:dyDescent="0.25">
      <c r="A1" t="s">
        <v>2736</v>
      </c>
    </row>
    <row r="3" spans="1:33" x14ac:dyDescent="0.25">
      <c r="A3" s="1" t="s">
        <v>761</v>
      </c>
      <c r="B3" s="1">
        <v>42843</v>
      </c>
    </row>
    <row r="4" spans="1:33" x14ac:dyDescent="0.25">
      <c r="A4" t="s">
        <v>762</v>
      </c>
      <c r="B4" s="3">
        <v>0.47986111111111113</v>
      </c>
      <c r="E4" t="s">
        <v>2734</v>
      </c>
    </row>
    <row r="5" spans="1:33" x14ac:dyDescent="0.25">
      <c r="A5" t="s">
        <v>763</v>
      </c>
      <c r="B5" s="3">
        <v>0.48402777777777778</v>
      </c>
      <c r="E5" t="s">
        <v>2735</v>
      </c>
      <c r="AG5" t="s">
        <v>5005</v>
      </c>
    </row>
    <row r="6" spans="1:33" x14ac:dyDescent="0.25">
      <c r="M6" t="s">
        <v>2927</v>
      </c>
      <c r="Q6" t="s">
        <v>2928</v>
      </c>
      <c r="AG6" t="s">
        <v>5006</v>
      </c>
    </row>
    <row r="7" spans="1:33" x14ac:dyDescent="0.25">
      <c r="A7" t="s">
        <v>1528</v>
      </c>
      <c r="I7" t="s">
        <v>2864</v>
      </c>
      <c r="M7" t="s">
        <v>2906</v>
      </c>
      <c r="Q7" t="s">
        <v>2929</v>
      </c>
      <c r="U7" t="s">
        <v>2972</v>
      </c>
      <c r="Y7" t="s">
        <v>3963</v>
      </c>
      <c r="AC7" t="s">
        <v>4954</v>
      </c>
      <c r="AG7" t="s">
        <v>5004</v>
      </c>
    </row>
    <row r="8" spans="1:33" x14ac:dyDescent="0.25">
      <c r="A8" t="s">
        <v>1</v>
      </c>
      <c r="E8" t="s">
        <v>533</v>
      </c>
      <c r="I8" t="s">
        <v>1</v>
      </c>
      <c r="M8" t="s">
        <v>2926</v>
      </c>
      <c r="Q8" t="s">
        <v>1</v>
      </c>
      <c r="AC8" t="s">
        <v>1</v>
      </c>
    </row>
    <row r="9" spans="1:33" x14ac:dyDescent="0.25">
      <c r="A9" t="s">
        <v>933</v>
      </c>
      <c r="E9" t="s">
        <v>933</v>
      </c>
      <c r="I9" t="s">
        <v>933</v>
      </c>
      <c r="M9" t="s">
        <v>2</v>
      </c>
      <c r="Q9" t="s">
        <v>933</v>
      </c>
      <c r="U9" t="s">
        <v>10</v>
      </c>
      <c r="Y9" t="s">
        <v>12</v>
      </c>
      <c r="AC9" t="s">
        <v>2</v>
      </c>
      <c r="AG9" t="s">
        <v>933</v>
      </c>
    </row>
    <row r="10" spans="1:33" x14ac:dyDescent="0.25">
      <c r="A10" t="s">
        <v>934</v>
      </c>
      <c r="E10" t="s">
        <v>934</v>
      </c>
      <c r="I10" t="s">
        <v>934</v>
      </c>
      <c r="M10" t="s">
        <v>3</v>
      </c>
      <c r="Q10" t="s">
        <v>934</v>
      </c>
      <c r="U10" t="s">
        <v>11</v>
      </c>
      <c r="Y10" t="s">
        <v>13</v>
      </c>
      <c r="AC10" t="s">
        <v>3</v>
      </c>
      <c r="AG10" t="s">
        <v>934</v>
      </c>
    </row>
    <row r="11" spans="1:33" x14ac:dyDescent="0.25">
      <c r="A11" t="s">
        <v>935</v>
      </c>
      <c r="E11" t="s">
        <v>935</v>
      </c>
      <c r="I11" t="s">
        <v>935</v>
      </c>
      <c r="M11" t="s">
        <v>4</v>
      </c>
      <c r="Q11" t="s">
        <v>935</v>
      </c>
      <c r="U11" t="s">
        <v>933</v>
      </c>
      <c r="Y11" t="s">
        <v>2</v>
      </c>
      <c r="AC11" t="s">
        <v>4</v>
      </c>
      <c r="AG11" t="s">
        <v>935</v>
      </c>
    </row>
    <row r="12" spans="1:33" x14ac:dyDescent="0.25">
      <c r="A12" t="s">
        <v>936</v>
      </c>
      <c r="E12" t="s">
        <v>936</v>
      </c>
      <c r="I12" t="s">
        <v>936</v>
      </c>
      <c r="M12" t="s">
        <v>5</v>
      </c>
      <c r="Q12" t="s">
        <v>936</v>
      </c>
      <c r="U12" t="s">
        <v>934</v>
      </c>
      <c r="Y12" t="s">
        <v>3</v>
      </c>
      <c r="AC12" t="s">
        <v>5</v>
      </c>
      <c r="AG12" t="s">
        <v>936</v>
      </c>
    </row>
    <row r="13" spans="1:33" x14ac:dyDescent="0.25">
      <c r="A13" t="s">
        <v>181</v>
      </c>
      <c r="E13" t="s">
        <v>181</v>
      </c>
      <c r="I13" t="s">
        <v>181</v>
      </c>
      <c r="M13" t="s">
        <v>6</v>
      </c>
      <c r="Q13" t="s">
        <v>181</v>
      </c>
      <c r="U13" t="s">
        <v>935</v>
      </c>
      <c r="Y13" t="s">
        <v>4</v>
      </c>
      <c r="AC13" t="s">
        <v>6</v>
      </c>
      <c r="AG13" t="s">
        <v>181</v>
      </c>
    </row>
    <row r="14" spans="1:33" x14ac:dyDescent="0.25">
      <c r="A14" t="s">
        <v>182</v>
      </c>
      <c r="E14" t="s">
        <v>182</v>
      </c>
      <c r="I14" t="s">
        <v>182</v>
      </c>
      <c r="M14" t="s">
        <v>7</v>
      </c>
      <c r="Q14" t="s">
        <v>182</v>
      </c>
      <c r="U14" t="s">
        <v>936</v>
      </c>
      <c r="Y14" t="s">
        <v>5</v>
      </c>
      <c r="AC14" t="s">
        <v>7</v>
      </c>
      <c r="AG14" t="s">
        <v>182</v>
      </c>
    </row>
    <row r="15" spans="1:33" x14ac:dyDescent="0.25">
      <c r="A15" t="s">
        <v>2737</v>
      </c>
      <c r="E15" t="s">
        <v>2737</v>
      </c>
      <c r="I15" t="s">
        <v>2737</v>
      </c>
      <c r="M15" t="s">
        <v>2738</v>
      </c>
      <c r="Q15" t="s">
        <v>2737</v>
      </c>
      <c r="U15" t="s">
        <v>181</v>
      </c>
      <c r="Y15" t="s">
        <v>6</v>
      </c>
      <c r="AC15" t="s">
        <v>2738</v>
      </c>
      <c r="AG15" t="s">
        <v>2737</v>
      </c>
    </row>
    <row r="16" spans="1:33" x14ac:dyDescent="0.25">
      <c r="A16" t="s">
        <v>15</v>
      </c>
      <c r="E16" t="s">
        <v>15</v>
      </c>
      <c r="I16" t="s">
        <v>15</v>
      </c>
      <c r="M16" t="s">
        <v>9</v>
      </c>
      <c r="Q16" t="s">
        <v>15</v>
      </c>
      <c r="U16" t="s">
        <v>182</v>
      </c>
      <c r="Y16" t="s">
        <v>7</v>
      </c>
      <c r="AC16" t="s">
        <v>9</v>
      </c>
      <c r="AG16" t="s">
        <v>15</v>
      </c>
    </row>
    <row r="17" spans="1:33" x14ac:dyDescent="0.25">
      <c r="A17" t="s">
        <v>12</v>
      </c>
      <c r="E17" t="s">
        <v>12</v>
      </c>
      <c r="I17" t="s">
        <v>12</v>
      </c>
      <c r="M17" t="s">
        <v>10</v>
      </c>
      <c r="Q17" t="s">
        <v>12</v>
      </c>
      <c r="U17" t="s">
        <v>2737</v>
      </c>
      <c r="Y17" t="s">
        <v>2738</v>
      </c>
      <c r="AC17" t="s">
        <v>10</v>
      </c>
      <c r="AG17" t="s">
        <v>12</v>
      </c>
    </row>
    <row r="18" spans="1:33" x14ac:dyDescent="0.25">
      <c r="A18" t="s">
        <v>13</v>
      </c>
      <c r="E18" t="s">
        <v>13</v>
      </c>
      <c r="I18" t="s">
        <v>13</v>
      </c>
      <c r="M18" t="s">
        <v>11</v>
      </c>
      <c r="Q18" t="s">
        <v>13</v>
      </c>
      <c r="U18" t="s">
        <v>15</v>
      </c>
      <c r="Y18" t="s">
        <v>9</v>
      </c>
      <c r="AC18" t="s">
        <v>11</v>
      </c>
      <c r="AG18" t="s">
        <v>13</v>
      </c>
    </row>
    <row r="19" spans="1:33" x14ac:dyDescent="0.25">
      <c r="A19" t="s">
        <v>10</v>
      </c>
      <c r="E19" t="s">
        <v>10</v>
      </c>
      <c r="I19" t="s">
        <v>10</v>
      </c>
      <c r="M19" t="s">
        <v>12</v>
      </c>
      <c r="Q19" t="s">
        <v>10</v>
      </c>
      <c r="U19" t="s">
        <v>2973</v>
      </c>
      <c r="Y19" t="s">
        <v>3964</v>
      </c>
      <c r="AC19" t="s">
        <v>12</v>
      </c>
      <c r="AG19" t="s">
        <v>10</v>
      </c>
    </row>
    <row r="20" spans="1:33" x14ac:dyDescent="0.25">
      <c r="A20" t="s">
        <v>11</v>
      </c>
      <c r="E20" t="s">
        <v>11</v>
      </c>
      <c r="I20" t="s">
        <v>11</v>
      </c>
      <c r="M20" t="s">
        <v>13</v>
      </c>
      <c r="Q20" t="s">
        <v>11</v>
      </c>
      <c r="U20" t="s">
        <v>2974</v>
      </c>
      <c r="Y20" t="s">
        <v>3965</v>
      </c>
      <c r="AC20" t="s">
        <v>13</v>
      </c>
      <c r="AG20" t="s">
        <v>11</v>
      </c>
    </row>
    <row r="21" spans="1:33" x14ac:dyDescent="0.25">
      <c r="U21" t="s">
        <v>2975</v>
      </c>
      <c r="Y21" t="s">
        <v>3966</v>
      </c>
    </row>
    <row r="22" spans="1:33" x14ac:dyDescent="0.25">
      <c r="A22" t="s">
        <v>2738</v>
      </c>
      <c r="E22" t="s">
        <v>2738</v>
      </c>
      <c r="I22" t="s">
        <v>2738</v>
      </c>
      <c r="M22" t="s">
        <v>10</v>
      </c>
      <c r="Q22" t="s">
        <v>2738</v>
      </c>
      <c r="U22" t="s">
        <v>2976</v>
      </c>
      <c r="Y22" t="s">
        <v>3967</v>
      </c>
      <c r="AC22" t="s">
        <v>2737</v>
      </c>
      <c r="AG22" t="s">
        <v>12</v>
      </c>
    </row>
    <row r="23" spans="1:33" x14ac:dyDescent="0.25">
      <c r="A23" t="s">
        <v>9</v>
      </c>
      <c r="E23" t="s">
        <v>9</v>
      </c>
      <c r="I23" t="s">
        <v>9</v>
      </c>
      <c r="M23" t="s">
        <v>11</v>
      </c>
      <c r="Q23" t="s">
        <v>9</v>
      </c>
      <c r="U23" t="s">
        <v>2977</v>
      </c>
      <c r="Y23" t="s">
        <v>3968</v>
      </c>
      <c r="AC23" t="s">
        <v>15</v>
      </c>
      <c r="AG23" t="s">
        <v>13</v>
      </c>
    </row>
    <row r="24" spans="1:33" x14ac:dyDescent="0.25">
      <c r="A24" t="s">
        <v>2739</v>
      </c>
      <c r="E24" t="s">
        <v>2799</v>
      </c>
      <c r="I24" t="s">
        <v>2865</v>
      </c>
      <c r="Q24" t="s">
        <v>2930</v>
      </c>
      <c r="U24" t="s">
        <v>2978</v>
      </c>
      <c r="Y24" t="s">
        <v>3969</v>
      </c>
      <c r="AC24" t="s">
        <v>4955</v>
      </c>
      <c r="AG24" t="s">
        <v>2</v>
      </c>
    </row>
    <row r="25" spans="1:33" x14ac:dyDescent="0.25">
      <c r="A25" t="s">
        <v>28</v>
      </c>
      <c r="E25" t="s">
        <v>28</v>
      </c>
      <c r="I25" t="s">
        <v>28</v>
      </c>
      <c r="M25" t="s">
        <v>2907</v>
      </c>
      <c r="Q25" t="s">
        <v>28</v>
      </c>
      <c r="U25" t="s">
        <v>2979</v>
      </c>
      <c r="Y25" t="s">
        <v>3970</v>
      </c>
      <c r="AC25" t="s">
        <v>16</v>
      </c>
      <c r="AG25" t="s">
        <v>3</v>
      </c>
    </row>
    <row r="26" spans="1:33" x14ac:dyDescent="0.25">
      <c r="A26" t="s">
        <v>2740</v>
      </c>
      <c r="E26" t="s">
        <v>2800</v>
      </c>
      <c r="I26" t="s">
        <v>2866</v>
      </c>
      <c r="M26" t="s">
        <v>16</v>
      </c>
      <c r="Q26" t="s">
        <v>2931</v>
      </c>
      <c r="U26" t="s">
        <v>2980</v>
      </c>
      <c r="Y26" t="s">
        <v>3971</v>
      </c>
      <c r="AC26" t="s">
        <v>4956</v>
      </c>
      <c r="AG26" t="s">
        <v>4</v>
      </c>
    </row>
    <row r="27" spans="1:33" x14ac:dyDescent="0.25">
      <c r="A27" t="s">
        <v>30</v>
      </c>
      <c r="E27" t="s">
        <v>30</v>
      </c>
      <c r="I27" t="s">
        <v>30</v>
      </c>
      <c r="M27" t="s">
        <v>2790</v>
      </c>
      <c r="Q27" t="s">
        <v>30</v>
      </c>
      <c r="U27" t="s">
        <v>2981</v>
      </c>
      <c r="Y27" t="s">
        <v>3972</v>
      </c>
      <c r="AC27" t="s">
        <v>18</v>
      </c>
      <c r="AG27" t="s">
        <v>5</v>
      </c>
    </row>
    <row r="28" spans="1:33" x14ac:dyDescent="0.25">
      <c r="A28" t="s">
        <v>31</v>
      </c>
      <c r="E28" t="s">
        <v>31</v>
      </c>
      <c r="I28" t="s">
        <v>31</v>
      </c>
      <c r="M28" t="s">
        <v>18</v>
      </c>
      <c r="Q28" t="s">
        <v>31</v>
      </c>
      <c r="U28" t="s">
        <v>2982</v>
      </c>
      <c r="Y28" t="s">
        <v>3973</v>
      </c>
      <c r="AC28" t="s">
        <v>19</v>
      </c>
      <c r="AG28" t="s">
        <v>6</v>
      </c>
    </row>
    <row r="29" spans="1:33" x14ac:dyDescent="0.25">
      <c r="A29" t="s">
        <v>32</v>
      </c>
      <c r="E29" t="s">
        <v>32</v>
      </c>
      <c r="I29" t="s">
        <v>32</v>
      </c>
      <c r="Q29" t="s">
        <v>32</v>
      </c>
      <c r="U29" t="s">
        <v>2983</v>
      </c>
      <c r="Y29" t="s">
        <v>3974</v>
      </c>
      <c r="AC29" t="s">
        <v>20</v>
      </c>
      <c r="AG29" t="s">
        <v>7</v>
      </c>
    </row>
    <row r="30" spans="1:33" x14ac:dyDescent="0.25">
      <c r="A30" t="s">
        <v>2741</v>
      </c>
      <c r="E30" t="s">
        <v>2801</v>
      </c>
      <c r="I30" t="s">
        <v>2867</v>
      </c>
      <c r="M30" t="s">
        <v>2908</v>
      </c>
      <c r="Q30" t="s">
        <v>2932</v>
      </c>
      <c r="U30" t="s">
        <v>2984</v>
      </c>
      <c r="Y30" t="s">
        <v>3975</v>
      </c>
      <c r="AC30" t="s">
        <v>4957</v>
      </c>
      <c r="AG30" t="s">
        <v>2738</v>
      </c>
    </row>
    <row r="31" spans="1:33" x14ac:dyDescent="0.25">
      <c r="A31" t="s">
        <v>34</v>
      </c>
      <c r="E31" t="s">
        <v>34</v>
      </c>
      <c r="I31" t="s">
        <v>34</v>
      </c>
      <c r="M31" t="s">
        <v>16</v>
      </c>
      <c r="Q31" t="s">
        <v>34</v>
      </c>
      <c r="U31" t="s">
        <v>2985</v>
      </c>
      <c r="Y31" t="s">
        <v>3976</v>
      </c>
      <c r="AC31" t="s">
        <v>22</v>
      </c>
      <c r="AG31" t="s">
        <v>9</v>
      </c>
    </row>
    <row r="32" spans="1:33" x14ac:dyDescent="0.25">
      <c r="A32" t="s">
        <v>2742</v>
      </c>
      <c r="E32" t="s">
        <v>2802</v>
      </c>
      <c r="I32" t="s">
        <v>2868</v>
      </c>
      <c r="M32" t="s">
        <v>2909</v>
      </c>
      <c r="Q32" t="s">
        <v>2933</v>
      </c>
      <c r="U32" t="s">
        <v>2986</v>
      </c>
      <c r="Y32" t="s">
        <v>3977</v>
      </c>
      <c r="AC32" t="s">
        <v>4958</v>
      </c>
      <c r="AG32" t="s">
        <v>5007</v>
      </c>
    </row>
    <row r="33" spans="1:33" x14ac:dyDescent="0.25">
      <c r="A33" t="s">
        <v>36</v>
      </c>
      <c r="E33" t="s">
        <v>36</v>
      </c>
      <c r="I33" t="s">
        <v>36</v>
      </c>
      <c r="M33" t="s">
        <v>18</v>
      </c>
      <c r="Q33" t="s">
        <v>36</v>
      </c>
      <c r="U33" t="s">
        <v>2987</v>
      </c>
      <c r="Y33" t="s">
        <v>3978</v>
      </c>
      <c r="AC33" t="s">
        <v>24</v>
      </c>
      <c r="AG33" t="s">
        <v>5008</v>
      </c>
    </row>
    <row r="34" spans="1:33" x14ac:dyDescent="0.25">
      <c r="A34" t="s">
        <v>37</v>
      </c>
      <c r="E34" t="s">
        <v>37</v>
      </c>
      <c r="I34" t="s">
        <v>2869</v>
      </c>
      <c r="Q34" t="s">
        <v>2869</v>
      </c>
      <c r="U34" t="s">
        <v>2988</v>
      </c>
      <c r="Y34" t="s">
        <v>3979</v>
      </c>
      <c r="AC34" t="s">
        <v>25</v>
      </c>
      <c r="AG34" t="s">
        <v>5009</v>
      </c>
    </row>
    <row r="35" spans="1:33" x14ac:dyDescent="0.25">
      <c r="A35" t="s">
        <v>38</v>
      </c>
      <c r="E35" t="s">
        <v>38</v>
      </c>
      <c r="I35" t="s">
        <v>38</v>
      </c>
      <c r="M35" t="s">
        <v>2910</v>
      </c>
      <c r="Q35" t="s">
        <v>38</v>
      </c>
      <c r="U35" t="s">
        <v>2989</v>
      </c>
      <c r="Y35" t="s">
        <v>3980</v>
      </c>
      <c r="AC35" t="s">
        <v>26</v>
      </c>
      <c r="AG35" t="s">
        <v>5010</v>
      </c>
    </row>
    <row r="36" spans="1:33" x14ac:dyDescent="0.25">
      <c r="M36" t="s">
        <v>16</v>
      </c>
      <c r="U36" t="s">
        <v>2990</v>
      </c>
      <c r="Y36" t="s">
        <v>3981</v>
      </c>
      <c r="AG36" t="s">
        <v>5011</v>
      </c>
    </row>
    <row r="37" spans="1:33" x14ac:dyDescent="0.25">
      <c r="A37" t="s">
        <v>2737</v>
      </c>
      <c r="E37" t="s">
        <v>2737</v>
      </c>
      <c r="I37" t="s">
        <v>2737</v>
      </c>
      <c r="M37" t="s">
        <v>2911</v>
      </c>
      <c r="Q37" t="s">
        <v>2737</v>
      </c>
      <c r="U37" t="s">
        <v>2991</v>
      </c>
      <c r="Y37" t="s">
        <v>3982</v>
      </c>
      <c r="AC37" t="s">
        <v>2738</v>
      </c>
      <c r="AG37" t="s">
        <v>5012</v>
      </c>
    </row>
    <row r="38" spans="1:33" x14ac:dyDescent="0.25">
      <c r="A38" t="s">
        <v>15</v>
      </c>
      <c r="E38" t="s">
        <v>15</v>
      </c>
      <c r="I38" t="s">
        <v>15</v>
      </c>
      <c r="M38" t="s">
        <v>18</v>
      </c>
      <c r="Q38" t="s">
        <v>15</v>
      </c>
      <c r="U38" t="s">
        <v>2992</v>
      </c>
      <c r="Y38" t="s">
        <v>3983</v>
      </c>
      <c r="AC38" t="s">
        <v>9</v>
      </c>
      <c r="AG38" t="s">
        <v>5009</v>
      </c>
    </row>
    <row r="39" spans="1:33" x14ac:dyDescent="0.25">
      <c r="A39" t="s">
        <v>2743</v>
      </c>
      <c r="E39" t="s">
        <v>2803</v>
      </c>
      <c r="I39" t="s">
        <v>2870</v>
      </c>
      <c r="Q39" t="s">
        <v>2934</v>
      </c>
      <c r="U39" t="s">
        <v>2993</v>
      </c>
      <c r="Y39" t="s">
        <v>3984</v>
      </c>
      <c r="AC39" t="s">
        <v>4959</v>
      </c>
      <c r="AG39" t="s">
        <v>5013</v>
      </c>
    </row>
    <row r="40" spans="1:33" x14ac:dyDescent="0.25">
      <c r="A40" t="s">
        <v>16</v>
      </c>
      <c r="E40" t="s">
        <v>16</v>
      </c>
      <c r="I40" t="s">
        <v>16</v>
      </c>
      <c r="M40" t="s">
        <v>2912</v>
      </c>
      <c r="Q40" t="s">
        <v>16</v>
      </c>
      <c r="U40" t="s">
        <v>2994</v>
      </c>
      <c r="Y40" t="s">
        <v>3985</v>
      </c>
      <c r="AC40" t="s">
        <v>28</v>
      </c>
      <c r="AG40" t="s">
        <v>5007</v>
      </c>
    </row>
    <row r="41" spans="1:33" x14ac:dyDescent="0.25">
      <c r="A41" t="s">
        <v>2744</v>
      </c>
      <c r="E41" t="s">
        <v>2804</v>
      </c>
      <c r="I41" t="s">
        <v>2871</v>
      </c>
      <c r="M41" t="s">
        <v>16</v>
      </c>
      <c r="Q41" t="s">
        <v>2935</v>
      </c>
      <c r="U41" t="s">
        <v>2995</v>
      </c>
      <c r="Y41" t="s">
        <v>3986</v>
      </c>
      <c r="AC41" t="s">
        <v>4960</v>
      </c>
      <c r="AG41" t="s">
        <v>5014</v>
      </c>
    </row>
    <row r="42" spans="1:33" x14ac:dyDescent="0.25">
      <c r="A42" t="s">
        <v>18</v>
      </c>
      <c r="E42" t="s">
        <v>18</v>
      </c>
      <c r="I42" t="s">
        <v>18</v>
      </c>
      <c r="M42" t="s">
        <v>2913</v>
      </c>
      <c r="Q42" t="s">
        <v>18</v>
      </c>
      <c r="U42" t="s">
        <v>2996</v>
      </c>
      <c r="Y42" t="s">
        <v>3987</v>
      </c>
      <c r="AC42" t="s">
        <v>30</v>
      </c>
      <c r="AG42" t="s">
        <v>5015</v>
      </c>
    </row>
    <row r="43" spans="1:33" x14ac:dyDescent="0.25">
      <c r="A43" t="s">
        <v>19</v>
      </c>
      <c r="E43" t="s">
        <v>19</v>
      </c>
      <c r="I43" t="s">
        <v>19</v>
      </c>
      <c r="M43" t="s">
        <v>18</v>
      </c>
      <c r="Q43" t="s">
        <v>19</v>
      </c>
      <c r="U43" t="s">
        <v>2997</v>
      </c>
      <c r="Y43" t="s">
        <v>3988</v>
      </c>
      <c r="AC43" t="s">
        <v>31</v>
      </c>
      <c r="AG43" t="s">
        <v>5016</v>
      </c>
    </row>
    <row r="44" spans="1:33" x14ac:dyDescent="0.25">
      <c r="A44" t="s">
        <v>20</v>
      </c>
      <c r="E44" t="s">
        <v>20</v>
      </c>
      <c r="I44" t="s">
        <v>20</v>
      </c>
      <c r="Q44" t="s">
        <v>20</v>
      </c>
      <c r="U44" t="s">
        <v>2998</v>
      </c>
      <c r="Y44" t="s">
        <v>3989</v>
      </c>
      <c r="AC44" t="s">
        <v>32</v>
      </c>
      <c r="AG44" t="s">
        <v>5017</v>
      </c>
    </row>
    <row r="45" spans="1:33" x14ac:dyDescent="0.25">
      <c r="A45" t="s">
        <v>2745</v>
      </c>
      <c r="E45" t="s">
        <v>2805</v>
      </c>
      <c r="I45" t="s">
        <v>2872</v>
      </c>
      <c r="M45" t="s">
        <v>2914</v>
      </c>
      <c r="Q45" t="s">
        <v>2936</v>
      </c>
      <c r="U45" t="s">
        <v>2999</v>
      </c>
      <c r="Y45" t="s">
        <v>3990</v>
      </c>
      <c r="AC45" t="s">
        <v>4961</v>
      </c>
      <c r="AG45" t="s">
        <v>5018</v>
      </c>
    </row>
    <row r="46" spans="1:33" x14ac:dyDescent="0.25">
      <c r="A46" t="s">
        <v>22</v>
      </c>
      <c r="E46" t="s">
        <v>22</v>
      </c>
      <c r="I46" t="s">
        <v>22</v>
      </c>
      <c r="M46" t="s">
        <v>16</v>
      </c>
      <c r="Q46" t="s">
        <v>22</v>
      </c>
      <c r="U46" t="s">
        <v>3000</v>
      </c>
      <c r="Y46" t="s">
        <v>3991</v>
      </c>
      <c r="AC46" t="s">
        <v>34</v>
      </c>
      <c r="AG46" t="s">
        <v>5019</v>
      </c>
    </row>
    <row r="47" spans="1:33" x14ac:dyDescent="0.25">
      <c r="A47" t="s">
        <v>2746</v>
      </c>
      <c r="E47" t="s">
        <v>2806</v>
      </c>
      <c r="I47" t="s">
        <v>2873</v>
      </c>
      <c r="M47" t="s">
        <v>2915</v>
      </c>
      <c r="Q47" t="s">
        <v>2937</v>
      </c>
      <c r="U47" t="s">
        <v>3001</v>
      </c>
      <c r="Y47" t="s">
        <v>3992</v>
      </c>
      <c r="AC47" t="s">
        <v>4962</v>
      </c>
      <c r="AG47" t="s">
        <v>5020</v>
      </c>
    </row>
    <row r="48" spans="1:33" x14ac:dyDescent="0.25">
      <c r="A48" t="s">
        <v>24</v>
      </c>
      <c r="E48" t="s">
        <v>24</v>
      </c>
      <c r="I48" t="s">
        <v>24</v>
      </c>
      <c r="M48" t="s">
        <v>18</v>
      </c>
      <c r="Q48" t="s">
        <v>24</v>
      </c>
      <c r="U48" t="s">
        <v>3002</v>
      </c>
      <c r="Y48" t="s">
        <v>3993</v>
      </c>
      <c r="AC48" t="s">
        <v>36</v>
      </c>
      <c r="AG48" t="s">
        <v>5021</v>
      </c>
    </row>
    <row r="49" spans="1:33" x14ac:dyDescent="0.25">
      <c r="A49" t="s">
        <v>25</v>
      </c>
      <c r="E49" t="s">
        <v>25</v>
      </c>
      <c r="I49" t="s">
        <v>2874</v>
      </c>
      <c r="Q49" t="s">
        <v>2874</v>
      </c>
      <c r="U49" t="s">
        <v>3003</v>
      </c>
      <c r="Y49" t="s">
        <v>3994</v>
      </c>
      <c r="AC49" t="s">
        <v>37</v>
      </c>
      <c r="AG49" t="s">
        <v>5022</v>
      </c>
    </row>
    <row r="50" spans="1:33" x14ac:dyDescent="0.25">
      <c r="A50" t="s">
        <v>26</v>
      </c>
      <c r="E50" t="s">
        <v>26</v>
      </c>
      <c r="I50" t="s">
        <v>26</v>
      </c>
      <c r="M50" t="s">
        <v>2916</v>
      </c>
      <c r="Q50" t="s">
        <v>26</v>
      </c>
      <c r="U50" t="s">
        <v>3004</v>
      </c>
      <c r="Y50" t="s">
        <v>3995</v>
      </c>
      <c r="AC50" t="s">
        <v>38</v>
      </c>
      <c r="AG50" t="s">
        <v>5023</v>
      </c>
    </row>
    <row r="51" spans="1:33" x14ac:dyDescent="0.25">
      <c r="M51" t="s">
        <v>16</v>
      </c>
      <c r="U51" t="s">
        <v>3005</v>
      </c>
      <c r="Y51" t="s">
        <v>3996</v>
      </c>
      <c r="AG51" t="s">
        <v>5024</v>
      </c>
    </row>
    <row r="52" spans="1:33" x14ac:dyDescent="0.25">
      <c r="A52" t="s">
        <v>2738</v>
      </c>
      <c r="E52" t="s">
        <v>2738</v>
      </c>
      <c r="I52" t="s">
        <v>2738</v>
      </c>
      <c r="M52" t="s">
        <v>2917</v>
      </c>
      <c r="Q52" t="s">
        <v>2738</v>
      </c>
      <c r="U52" t="s">
        <v>3006</v>
      </c>
      <c r="Y52" t="s">
        <v>3997</v>
      </c>
      <c r="AC52" t="s">
        <v>2737</v>
      </c>
      <c r="AG52" t="s">
        <v>5025</v>
      </c>
    </row>
    <row r="53" spans="1:33" x14ac:dyDescent="0.25">
      <c r="A53" t="s">
        <v>9</v>
      </c>
      <c r="E53" t="s">
        <v>9</v>
      </c>
      <c r="I53" t="s">
        <v>9</v>
      </c>
      <c r="M53" t="s">
        <v>18</v>
      </c>
      <c r="Q53" t="s">
        <v>9</v>
      </c>
      <c r="U53" t="s">
        <v>3007</v>
      </c>
      <c r="Y53" t="s">
        <v>3998</v>
      </c>
      <c r="AC53" t="s">
        <v>15</v>
      </c>
      <c r="AG53" t="s">
        <v>5026</v>
      </c>
    </row>
    <row r="54" spans="1:33" x14ac:dyDescent="0.25">
      <c r="A54" t="s">
        <v>2747</v>
      </c>
      <c r="E54" t="s">
        <v>2807</v>
      </c>
      <c r="I54" t="s">
        <v>2875</v>
      </c>
      <c r="Q54" t="s">
        <v>2938</v>
      </c>
      <c r="U54" t="s">
        <v>3008</v>
      </c>
      <c r="Y54" t="s">
        <v>3999</v>
      </c>
      <c r="AC54" t="s">
        <v>4963</v>
      </c>
      <c r="AG54" t="s">
        <v>5027</v>
      </c>
    </row>
    <row r="55" spans="1:33" x14ac:dyDescent="0.25">
      <c r="A55" t="s">
        <v>28</v>
      </c>
      <c r="E55" t="s">
        <v>28</v>
      </c>
      <c r="I55" t="s">
        <v>28</v>
      </c>
      <c r="M55" t="s">
        <v>2918</v>
      </c>
      <c r="Q55" t="s">
        <v>28</v>
      </c>
      <c r="U55" t="s">
        <v>3009</v>
      </c>
      <c r="Y55" t="s">
        <v>4000</v>
      </c>
      <c r="AC55" t="s">
        <v>16</v>
      </c>
      <c r="AG55" t="s">
        <v>5028</v>
      </c>
    </row>
    <row r="56" spans="1:33" x14ac:dyDescent="0.25">
      <c r="A56" t="s">
        <v>2748</v>
      </c>
      <c r="E56" t="s">
        <v>2808</v>
      </c>
      <c r="I56" t="s">
        <v>2876</v>
      </c>
      <c r="M56" t="s">
        <v>16</v>
      </c>
      <c r="Q56" t="s">
        <v>2939</v>
      </c>
      <c r="U56" t="s">
        <v>3010</v>
      </c>
      <c r="Y56" t="s">
        <v>4001</v>
      </c>
      <c r="AC56" t="s">
        <v>4964</v>
      </c>
      <c r="AG56" t="s">
        <v>5017</v>
      </c>
    </row>
    <row r="57" spans="1:33" x14ac:dyDescent="0.25">
      <c r="A57" t="s">
        <v>30</v>
      </c>
      <c r="E57" t="s">
        <v>30</v>
      </c>
      <c r="I57" t="s">
        <v>30</v>
      </c>
      <c r="M57" t="s">
        <v>2919</v>
      </c>
      <c r="Q57" t="s">
        <v>30</v>
      </c>
      <c r="U57" t="s">
        <v>3011</v>
      </c>
      <c r="Y57" t="s">
        <v>4002</v>
      </c>
      <c r="AC57" t="s">
        <v>18</v>
      </c>
      <c r="AG57" t="s">
        <v>5029</v>
      </c>
    </row>
    <row r="58" spans="1:33" x14ac:dyDescent="0.25">
      <c r="A58" t="s">
        <v>31</v>
      </c>
      <c r="E58" t="s">
        <v>31</v>
      </c>
      <c r="I58" t="s">
        <v>31</v>
      </c>
      <c r="M58" t="s">
        <v>18</v>
      </c>
      <c r="Q58" t="s">
        <v>31</v>
      </c>
      <c r="U58" t="s">
        <v>3012</v>
      </c>
      <c r="Y58" t="s">
        <v>4003</v>
      </c>
      <c r="AC58" t="s">
        <v>19</v>
      </c>
      <c r="AG58" t="s">
        <v>5030</v>
      </c>
    </row>
    <row r="59" spans="1:33" x14ac:dyDescent="0.25">
      <c r="A59" t="s">
        <v>32</v>
      </c>
      <c r="E59" t="s">
        <v>32</v>
      </c>
      <c r="I59" t="s">
        <v>32</v>
      </c>
      <c r="M59" t="s">
        <v>12</v>
      </c>
      <c r="Q59" t="s">
        <v>32</v>
      </c>
      <c r="U59" t="s">
        <v>3013</v>
      </c>
      <c r="Y59" t="s">
        <v>4004</v>
      </c>
      <c r="AC59" t="s">
        <v>20</v>
      </c>
      <c r="AG59" t="s">
        <v>5031</v>
      </c>
    </row>
    <row r="60" spans="1:33" x14ac:dyDescent="0.25">
      <c r="A60" t="s">
        <v>2749</v>
      </c>
      <c r="E60" t="s">
        <v>2809</v>
      </c>
      <c r="I60" t="s">
        <v>2877</v>
      </c>
      <c r="M60" t="s">
        <v>13</v>
      </c>
      <c r="Q60" t="s">
        <v>2940</v>
      </c>
      <c r="U60" t="s">
        <v>3014</v>
      </c>
      <c r="Y60" t="s">
        <v>4005</v>
      </c>
      <c r="AC60" t="s">
        <v>4965</v>
      </c>
      <c r="AG60" t="s">
        <v>5032</v>
      </c>
    </row>
    <row r="61" spans="1:33" x14ac:dyDescent="0.25">
      <c r="A61" t="s">
        <v>34</v>
      </c>
      <c r="E61" t="s">
        <v>34</v>
      </c>
      <c r="I61" t="s">
        <v>34</v>
      </c>
      <c r="M61" t="s">
        <v>10</v>
      </c>
      <c r="Q61" t="s">
        <v>34</v>
      </c>
      <c r="U61" t="s">
        <v>3015</v>
      </c>
      <c r="Y61" t="s">
        <v>4006</v>
      </c>
      <c r="AC61" t="s">
        <v>22</v>
      </c>
      <c r="AG61" t="s">
        <v>5033</v>
      </c>
    </row>
    <row r="62" spans="1:33" x14ac:dyDescent="0.25">
      <c r="A62" t="s">
        <v>2750</v>
      </c>
      <c r="E62" t="s">
        <v>2810</v>
      </c>
      <c r="I62" t="s">
        <v>2878</v>
      </c>
      <c r="M62" t="s">
        <v>11</v>
      </c>
      <c r="Q62" t="s">
        <v>2941</v>
      </c>
      <c r="U62" t="s">
        <v>3016</v>
      </c>
      <c r="Y62" t="s">
        <v>4007</v>
      </c>
      <c r="AC62" t="s">
        <v>4966</v>
      </c>
      <c r="AG62" t="s">
        <v>5023</v>
      </c>
    </row>
    <row r="63" spans="1:33" x14ac:dyDescent="0.25">
      <c r="A63" t="s">
        <v>36</v>
      </c>
      <c r="E63" t="s">
        <v>36</v>
      </c>
      <c r="I63" t="s">
        <v>36</v>
      </c>
      <c r="M63" t="s">
        <v>151</v>
      </c>
      <c r="Q63" t="s">
        <v>36</v>
      </c>
      <c r="U63" t="s">
        <v>3017</v>
      </c>
      <c r="Y63" t="s">
        <v>4008</v>
      </c>
      <c r="AC63" t="s">
        <v>24</v>
      </c>
      <c r="AG63" t="s">
        <v>5034</v>
      </c>
    </row>
    <row r="64" spans="1:33" x14ac:dyDescent="0.25">
      <c r="A64" t="s">
        <v>37</v>
      </c>
      <c r="E64" t="s">
        <v>37</v>
      </c>
      <c r="I64" t="s">
        <v>2869</v>
      </c>
      <c r="M64" t="s">
        <v>2920</v>
      </c>
      <c r="Q64" t="s">
        <v>2869</v>
      </c>
      <c r="U64" t="s">
        <v>3018</v>
      </c>
      <c r="Y64" t="s">
        <v>4009</v>
      </c>
      <c r="AC64" t="s">
        <v>25</v>
      </c>
      <c r="AG64" t="s">
        <v>5035</v>
      </c>
    </row>
    <row r="65" spans="1:33" x14ac:dyDescent="0.25">
      <c r="A65" t="s">
        <v>38</v>
      </c>
      <c r="E65" t="s">
        <v>38</v>
      </c>
      <c r="I65" t="s">
        <v>38</v>
      </c>
      <c r="M65" t="s">
        <v>149</v>
      </c>
      <c r="Q65" t="s">
        <v>38</v>
      </c>
      <c r="U65" t="s">
        <v>3019</v>
      </c>
      <c r="Y65" t="s">
        <v>4010</v>
      </c>
      <c r="AC65" t="s">
        <v>26</v>
      </c>
      <c r="AG65" t="s">
        <v>5036</v>
      </c>
    </row>
    <row r="66" spans="1:33" x14ac:dyDescent="0.25">
      <c r="M66" t="s">
        <v>2921</v>
      </c>
      <c r="U66" t="s">
        <v>3020</v>
      </c>
      <c r="Y66" t="s">
        <v>4011</v>
      </c>
      <c r="AG66" t="s">
        <v>5037</v>
      </c>
    </row>
    <row r="67" spans="1:33" x14ac:dyDescent="0.25">
      <c r="A67" t="s">
        <v>2737</v>
      </c>
      <c r="E67" t="s">
        <v>2737</v>
      </c>
      <c r="I67" t="s">
        <v>2737</v>
      </c>
      <c r="Q67" t="s">
        <v>2737</v>
      </c>
      <c r="U67" t="s">
        <v>3021</v>
      </c>
      <c r="Y67" t="s">
        <v>4012</v>
      </c>
      <c r="AC67" t="s">
        <v>2738</v>
      </c>
      <c r="AG67" t="s">
        <v>5038</v>
      </c>
    </row>
    <row r="68" spans="1:33" x14ac:dyDescent="0.25">
      <c r="A68" t="s">
        <v>15</v>
      </c>
      <c r="E68" t="s">
        <v>15</v>
      </c>
      <c r="I68" t="s">
        <v>15</v>
      </c>
      <c r="M68" t="s">
        <v>933</v>
      </c>
      <c r="Q68" t="s">
        <v>15</v>
      </c>
      <c r="U68" t="s">
        <v>3022</v>
      </c>
      <c r="Y68" t="s">
        <v>4013</v>
      </c>
      <c r="AC68" t="s">
        <v>9</v>
      </c>
      <c r="AG68" t="s">
        <v>5017</v>
      </c>
    </row>
    <row r="69" spans="1:33" x14ac:dyDescent="0.25">
      <c r="A69" t="s">
        <v>2751</v>
      </c>
      <c r="E69" t="s">
        <v>2811</v>
      </c>
      <c r="I69" t="s">
        <v>2879</v>
      </c>
      <c r="M69" t="s">
        <v>934</v>
      </c>
      <c r="Q69" t="s">
        <v>2942</v>
      </c>
      <c r="U69" t="s">
        <v>3023</v>
      </c>
      <c r="Y69" t="s">
        <v>4014</v>
      </c>
      <c r="AC69" t="s">
        <v>4967</v>
      </c>
      <c r="AG69" t="s">
        <v>5039</v>
      </c>
    </row>
    <row r="70" spans="1:33" x14ac:dyDescent="0.25">
      <c r="A70" t="s">
        <v>16</v>
      </c>
      <c r="E70" t="s">
        <v>16</v>
      </c>
      <c r="I70" t="s">
        <v>16</v>
      </c>
      <c r="M70" t="s">
        <v>935</v>
      </c>
      <c r="Q70" t="s">
        <v>16</v>
      </c>
      <c r="U70" t="s">
        <v>3024</v>
      </c>
      <c r="Y70" t="s">
        <v>4015</v>
      </c>
      <c r="AC70" t="s">
        <v>28</v>
      </c>
      <c r="AG70" t="s">
        <v>5040</v>
      </c>
    </row>
    <row r="71" spans="1:33" x14ac:dyDescent="0.25">
      <c r="A71" t="s">
        <v>2752</v>
      </c>
      <c r="E71" t="s">
        <v>2812</v>
      </c>
      <c r="I71" t="s">
        <v>2880</v>
      </c>
      <c r="M71" t="s">
        <v>936</v>
      </c>
      <c r="Q71" t="s">
        <v>2943</v>
      </c>
      <c r="U71" t="s">
        <v>3025</v>
      </c>
      <c r="Y71" t="s">
        <v>4016</v>
      </c>
      <c r="AC71" t="s">
        <v>4968</v>
      </c>
      <c r="AG71" t="s">
        <v>5041</v>
      </c>
    </row>
    <row r="72" spans="1:33" x14ac:dyDescent="0.25">
      <c r="A72" t="s">
        <v>18</v>
      </c>
      <c r="E72" t="s">
        <v>18</v>
      </c>
      <c r="I72" t="s">
        <v>18</v>
      </c>
      <c r="M72" t="s">
        <v>181</v>
      </c>
      <c r="Q72" t="s">
        <v>18</v>
      </c>
      <c r="U72" t="s">
        <v>3026</v>
      </c>
      <c r="Y72" t="s">
        <v>4017</v>
      </c>
      <c r="AC72" t="s">
        <v>30</v>
      </c>
      <c r="AG72" t="s">
        <v>5042</v>
      </c>
    </row>
    <row r="73" spans="1:33" x14ac:dyDescent="0.25">
      <c r="A73" t="s">
        <v>19</v>
      </c>
      <c r="E73" t="s">
        <v>19</v>
      </c>
      <c r="I73" t="s">
        <v>19</v>
      </c>
      <c r="M73" t="s">
        <v>182</v>
      </c>
      <c r="Q73" t="s">
        <v>19</v>
      </c>
      <c r="U73" t="s">
        <v>3027</v>
      </c>
      <c r="Y73" t="s">
        <v>4018</v>
      </c>
      <c r="AC73" t="s">
        <v>31</v>
      </c>
      <c r="AG73" t="s">
        <v>5043</v>
      </c>
    </row>
    <row r="74" spans="1:33" x14ac:dyDescent="0.25">
      <c r="A74" t="s">
        <v>20</v>
      </c>
      <c r="E74" t="s">
        <v>20</v>
      </c>
      <c r="I74" t="s">
        <v>20</v>
      </c>
      <c r="M74" t="s">
        <v>2737</v>
      </c>
      <c r="Q74" t="s">
        <v>20</v>
      </c>
      <c r="U74" t="s">
        <v>3028</v>
      </c>
      <c r="Y74" t="s">
        <v>4019</v>
      </c>
      <c r="AC74" t="s">
        <v>32</v>
      </c>
      <c r="AG74" t="s">
        <v>5023</v>
      </c>
    </row>
    <row r="75" spans="1:33" x14ac:dyDescent="0.25">
      <c r="A75" t="s">
        <v>2753</v>
      </c>
      <c r="E75" t="s">
        <v>2813</v>
      </c>
      <c r="I75" t="s">
        <v>2881</v>
      </c>
      <c r="M75" t="s">
        <v>15</v>
      </c>
      <c r="Q75" t="s">
        <v>2944</v>
      </c>
      <c r="U75" t="s">
        <v>3029</v>
      </c>
      <c r="Y75" t="s">
        <v>4020</v>
      </c>
      <c r="AC75" t="s">
        <v>4969</v>
      </c>
      <c r="AG75" t="s">
        <v>5044</v>
      </c>
    </row>
    <row r="76" spans="1:33" x14ac:dyDescent="0.25">
      <c r="A76" t="s">
        <v>22</v>
      </c>
      <c r="E76" t="s">
        <v>22</v>
      </c>
      <c r="I76" t="s">
        <v>22</v>
      </c>
      <c r="M76" t="s">
        <v>12</v>
      </c>
      <c r="Q76" t="s">
        <v>22</v>
      </c>
      <c r="U76" t="s">
        <v>3030</v>
      </c>
      <c r="Y76" t="s">
        <v>4021</v>
      </c>
      <c r="AC76" t="s">
        <v>34</v>
      </c>
      <c r="AG76" t="s">
        <v>5045</v>
      </c>
    </row>
    <row r="77" spans="1:33" x14ac:dyDescent="0.25">
      <c r="A77" t="s">
        <v>2754</v>
      </c>
      <c r="E77" t="s">
        <v>2814</v>
      </c>
      <c r="I77" t="s">
        <v>2882</v>
      </c>
      <c r="M77" t="s">
        <v>13</v>
      </c>
      <c r="Q77" t="s">
        <v>2945</v>
      </c>
      <c r="U77" t="s">
        <v>3031</v>
      </c>
      <c r="Y77" t="s">
        <v>4022</v>
      </c>
      <c r="AC77" t="s">
        <v>4970</v>
      </c>
      <c r="AG77" t="s">
        <v>5046</v>
      </c>
    </row>
    <row r="78" spans="1:33" x14ac:dyDescent="0.25">
      <c r="A78" t="s">
        <v>24</v>
      </c>
      <c r="E78" t="s">
        <v>24</v>
      </c>
      <c r="I78" t="s">
        <v>24</v>
      </c>
      <c r="Q78" t="s">
        <v>24</v>
      </c>
      <c r="U78" t="s">
        <v>3032</v>
      </c>
      <c r="Y78" t="s">
        <v>4023</v>
      </c>
      <c r="AC78" t="s">
        <v>36</v>
      </c>
      <c r="AG78" t="s">
        <v>5047</v>
      </c>
    </row>
    <row r="79" spans="1:33" x14ac:dyDescent="0.25">
      <c r="A79" t="s">
        <v>25</v>
      </c>
      <c r="E79" t="s">
        <v>25</v>
      </c>
      <c r="I79" t="s">
        <v>2874</v>
      </c>
      <c r="M79" t="s">
        <v>10</v>
      </c>
      <c r="Q79" t="s">
        <v>2874</v>
      </c>
      <c r="U79" t="s">
        <v>3033</v>
      </c>
      <c r="Y79" t="s">
        <v>4024</v>
      </c>
      <c r="AC79" t="s">
        <v>37</v>
      </c>
      <c r="AG79" t="s">
        <v>5048</v>
      </c>
    </row>
    <row r="80" spans="1:33" x14ac:dyDescent="0.25">
      <c r="A80" t="s">
        <v>26</v>
      </c>
      <c r="E80" t="s">
        <v>26</v>
      </c>
      <c r="I80" t="s">
        <v>26</v>
      </c>
      <c r="M80" t="s">
        <v>11</v>
      </c>
      <c r="Q80" t="s">
        <v>26</v>
      </c>
      <c r="U80" t="s">
        <v>3034</v>
      </c>
      <c r="Y80" t="s">
        <v>4025</v>
      </c>
      <c r="AC80" t="s">
        <v>38</v>
      </c>
      <c r="AG80" t="s">
        <v>5017</v>
      </c>
    </row>
    <row r="81" spans="1:33" x14ac:dyDescent="0.25">
      <c r="M81" t="s">
        <v>12</v>
      </c>
      <c r="U81" t="s">
        <v>3035</v>
      </c>
      <c r="Y81" t="s">
        <v>4026</v>
      </c>
      <c r="AG81" t="s">
        <v>5049</v>
      </c>
    </row>
    <row r="82" spans="1:33" x14ac:dyDescent="0.25">
      <c r="A82" t="s">
        <v>2738</v>
      </c>
      <c r="E82" t="s">
        <v>2738</v>
      </c>
      <c r="I82" t="s">
        <v>2738</v>
      </c>
      <c r="M82" t="s">
        <v>13</v>
      </c>
      <c r="Q82" t="s">
        <v>2738</v>
      </c>
      <c r="U82" t="s">
        <v>3036</v>
      </c>
      <c r="Y82" t="s">
        <v>4027</v>
      </c>
      <c r="AC82" t="s">
        <v>2737</v>
      </c>
      <c r="AG82" t="s">
        <v>5050</v>
      </c>
    </row>
    <row r="83" spans="1:33" x14ac:dyDescent="0.25">
      <c r="A83" t="s">
        <v>9</v>
      </c>
      <c r="E83" t="s">
        <v>9</v>
      </c>
      <c r="I83" t="s">
        <v>9</v>
      </c>
      <c r="M83" t="s">
        <v>2737</v>
      </c>
      <c r="Q83" t="s">
        <v>9</v>
      </c>
      <c r="U83" t="s">
        <v>3037</v>
      </c>
      <c r="Y83" t="s">
        <v>4028</v>
      </c>
      <c r="AC83" t="s">
        <v>15</v>
      </c>
      <c r="AG83" t="s">
        <v>5051</v>
      </c>
    </row>
    <row r="84" spans="1:33" x14ac:dyDescent="0.25">
      <c r="A84" t="s">
        <v>2755</v>
      </c>
      <c r="E84" t="s">
        <v>2815</v>
      </c>
      <c r="I84" t="s">
        <v>2883</v>
      </c>
      <c r="M84" t="s">
        <v>15</v>
      </c>
      <c r="Q84" t="s">
        <v>2946</v>
      </c>
      <c r="U84" t="s">
        <v>3038</v>
      </c>
      <c r="Y84" t="s">
        <v>4029</v>
      </c>
      <c r="AC84" t="s">
        <v>4971</v>
      </c>
      <c r="AG84" t="s">
        <v>5052</v>
      </c>
    </row>
    <row r="85" spans="1:33" x14ac:dyDescent="0.25">
      <c r="A85" t="s">
        <v>28</v>
      </c>
      <c r="E85" t="s">
        <v>28</v>
      </c>
      <c r="I85" t="s">
        <v>28</v>
      </c>
      <c r="M85" t="s">
        <v>2922</v>
      </c>
      <c r="Q85" t="s">
        <v>28</v>
      </c>
      <c r="U85" t="s">
        <v>3039</v>
      </c>
      <c r="Y85" t="s">
        <v>4030</v>
      </c>
      <c r="AC85" t="s">
        <v>16</v>
      </c>
      <c r="AG85" t="s">
        <v>5053</v>
      </c>
    </row>
    <row r="86" spans="1:33" x14ac:dyDescent="0.25">
      <c r="A86" t="s">
        <v>1718</v>
      </c>
      <c r="E86" t="s">
        <v>2816</v>
      </c>
      <c r="I86" t="s">
        <v>2884</v>
      </c>
      <c r="M86" t="s">
        <v>16</v>
      </c>
      <c r="Q86" t="s">
        <v>2947</v>
      </c>
      <c r="U86" t="s">
        <v>3040</v>
      </c>
      <c r="Y86" t="s">
        <v>4031</v>
      </c>
      <c r="AC86" t="s">
        <v>4972</v>
      </c>
      <c r="AG86" t="s">
        <v>5023</v>
      </c>
    </row>
    <row r="87" spans="1:33" x14ac:dyDescent="0.25">
      <c r="A87" t="s">
        <v>30</v>
      </c>
      <c r="E87" t="s">
        <v>30</v>
      </c>
      <c r="I87" t="s">
        <v>30</v>
      </c>
      <c r="M87" t="s">
        <v>2923</v>
      </c>
      <c r="Q87" t="s">
        <v>30</v>
      </c>
      <c r="U87" t="s">
        <v>3041</v>
      </c>
      <c r="Y87" t="s">
        <v>4032</v>
      </c>
      <c r="AC87" t="s">
        <v>18</v>
      </c>
      <c r="AG87" t="s">
        <v>5054</v>
      </c>
    </row>
    <row r="88" spans="1:33" x14ac:dyDescent="0.25">
      <c r="A88" t="s">
        <v>31</v>
      </c>
      <c r="E88" t="s">
        <v>31</v>
      </c>
      <c r="I88" t="s">
        <v>31</v>
      </c>
      <c r="M88" t="s">
        <v>18</v>
      </c>
      <c r="Q88" t="s">
        <v>31</v>
      </c>
      <c r="U88" t="s">
        <v>3042</v>
      </c>
      <c r="Y88" t="s">
        <v>4033</v>
      </c>
      <c r="AC88" t="s">
        <v>19</v>
      </c>
      <c r="AG88" t="s">
        <v>4484</v>
      </c>
    </row>
    <row r="89" spans="1:33" x14ac:dyDescent="0.25">
      <c r="A89" t="s">
        <v>32</v>
      </c>
      <c r="E89" t="s">
        <v>32</v>
      </c>
      <c r="I89" t="s">
        <v>32</v>
      </c>
      <c r="M89" t="s">
        <v>19</v>
      </c>
      <c r="Q89" t="s">
        <v>32</v>
      </c>
      <c r="U89" t="s">
        <v>3043</v>
      </c>
      <c r="Y89" t="s">
        <v>4034</v>
      </c>
      <c r="AC89" t="s">
        <v>20</v>
      </c>
      <c r="AG89" t="s">
        <v>5055</v>
      </c>
    </row>
    <row r="90" spans="1:33" x14ac:dyDescent="0.25">
      <c r="A90" t="s">
        <v>2756</v>
      </c>
      <c r="E90" t="s">
        <v>2817</v>
      </c>
      <c r="I90" t="s">
        <v>2885</v>
      </c>
      <c r="M90" t="s">
        <v>20</v>
      </c>
      <c r="Q90" t="s">
        <v>2948</v>
      </c>
      <c r="U90" t="s">
        <v>3044</v>
      </c>
      <c r="Y90" t="s">
        <v>4035</v>
      </c>
      <c r="AC90" t="s">
        <v>4973</v>
      </c>
      <c r="AG90" t="s">
        <v>5056</v>
      </c>
    </row>
    <row r="91" spans="1:33" x14ac:dyDescent="0.25">
      <c r="A91" t="s">
        <v>34</v>
      </c>
      <c r="E91" t="s">
        <v>34</v>
      </c>
      <c r="I91" t="s">
        <v>34</v>
      </c>
      <c r="M91" t="s">
        <v>2924</v>
      </c>
      <c r="Q91" t="s">
        <v>34</v>
      </c>
      <c r="U91" t="s">
        <v>3045</v>
      </c>
      <c r="Y91" t="s">
        <v>4036</v>
      </c>
      <c r="AC91" t="s">
        <v>22</v>
      </c>
      <c r="AG91" t="s">
        <v>5057</v>
      </c>
    </row>
    <row r="92" spans="1:33" x14ac:dyDescent="0.25">
      <c r="A92" t="s">
        <v>2757</v>
      </c>
      <c r="E92" t="s">
        <v>2818</v>
      </c>
      <c r="I92" t="s">
        <v>2886</v>
      </c>
      <c r="M92" t="s">
        <v>22</v>
      </c>
      <c r="Q92" t="s">
        <v>2949</v>
      </c>
      <c r="U92" t="s">
        <v>3046</v>
      </c>
      <c r="Y92" t="s">
        <v>4037</v>
      </c>
      <c r="AC92" t="s">
        <v>4974</v>
      </c>
      <c r="AG92" t="s">
        <v>5017</v>
      </c>
    </row>
    <row r="93" spans="1:33" x14ac:dyDescent="0.25">
      <c r="A93" t="s">
        <v>36</v>
      </c>
      <c r="E93" t="s">
        <v>36</v>
      </c>
      <c r="I93" t="s">
        <v>36</v>
      </c>
      <c r="M93" t="s">
        <v>2925</v>
      </c>
      <c r="Q93" t="s">
        <v>36</v>
      </c>
      <c r="U93" t="s">
        <v>3047</v>
      </c>
      <c r="Y93" t="s">
        <v>4038</v>
      </c>
      <c r="AC93" t="s">
        <v>24</v>
      </c>
      <c r="AG93" t="s">
        <v>5058</v>
      </c>
    </row>
    <row r="94" spans="1:33" x14ac:dyDescent="0.25">
      <c r="A94" t="s">
        <v>37</v>
      </c>
      <c r="E94" t="s">
        <v>37</v>
      </c>
      <c r="I94" t="s">
        <v>2869</v>
      </c>
      <c r="M94" t="s">
        <v>24</v>
      </c>
      <c r="Q94" t="s">
        <v>2869</v>
      </c>
      <c r="U94" t="s">
        <v>3048</v>
      </c>
      <c r="Y94" t="s">
        <v>4039</v>
      </c>
      <c r="AC94" t="s">
        <v>25</v>
      </c>
      <c r="AG94" t="s">
        <v>5059</v>
      </c>
    </row>
    <row r="95" spans="1:33" x14ac:dyDescent="0.25">
      <c r="A95" t="s">
        <v>38</v>
      </c>
      <c r="E95" t="s">
        <v>38</v>
      </c>
      <c r="I95" t="s">
        <v>38</v>
      </c>
      <c r="M95" t="s">
        <v>2874</v>
      </c>
      <c r="Q95" t="s">
        <v>38</v>
      </c>
      <c r="U95" t="s">
        <v>3049</v>
      </c>
      <c r="Y95" t="s">
        <v>4040</v>
      </c>
      <c r="AC95" t="s">
        <v>26</v>
      </c>
      <c r="AG95" t="s">
        <v>5060</v>
      </c>
    </row>
    <row r="96" spans="1:33" x14ac:dyDescent="0.25">
      <c r="M96" t="s">
        <v>26</v>
      </c>
      <c r="U96" t="s">
        <v>3050</v>
      </c>
      <c r="Y96" t="s">
        <v>4041</v>
      </c>
      <c r="AG96" t="s">
        <v>5007</v>
      </c>
    </row>
    <row r="97" spans="1:33" x14ac:dyDescent="0.25">
      <c r="A97" t="s">
        <v>2737</v>
      </c>
      <c r="E97" t="s">
        <v>2737</v>
      </c>
      <c r="I97" t="s">
        <v>2737</v>
      </c>
      <c r="M97" t="s">
        <v>2738</v>
      </c>
      <c r="Q97" t="s">
        <v>2737</v>
      </c>
      <c r="U97" t="s">
        <v>3051</v>
      </c>
      <c r="Y97" t="s">
        <v>4042</v>
      </c>
      <c r="AC97" t="s">
        <v>2738</v>
      </c>
      <c r="AG97" t="s">
        <v>5061</v>
      </c>
    </row>
    <row r="98" spans="1:33" x14ac:dyDescent="0.25">
      <c r="A98" t="s">
        <v>15</v>
      </c>
      <c r="E98" t="s">
        <v>15</v>
      </c>
      <c r="I98" t="s">
        <v>15</v>
      </c>
      <c r="M98" t="s">
        <v>9</v>
      </c>
      <c r="Q98" t="s">
        <v>15</v>
      </c>
      <c r="U98" t="s">
        <v>3052</v>
      </c>
      <c r="Y98" t="s">
        <v>4043</v>
      </c>
      <c r="AC98" t="s">
        <v>9</v>
      </c>
      <c r="AG98" t="s">
        <v>5009</v>
      </c>
    </row>
    <row r="99" spans="1:33" x14ac:dyDescent="0.25">
      <c r="A99" t="s">
        <v>2758</v>
      </c>
      <c r="E99" t="s">
        <v>2819</v>
      </c>
      <c r="I99" t="s">
        <v>2887</v>
      </c>
      <c r="M99" t="s">
        <v>10</v>
      </c>
      <c r="Q99" t="s">
        <v>2950</v>
      </c>
      <c r="U99" t="s">
        <v>3053</v>
      </c>
      <c r="Y99" t="s">
        <v>4044</v>
      </c>
      <c r="AC99" t="s">
        <v>4975</v>
      </c>
      <c r="AG99" t="s">
        <v>5062</v>
      </c>
    </row>
    <row r="100" spans="1:33" x14ac:dyDescent="0.25">
      <c r="A100" t="s">
        <v>16</v>
      </c>
      <c r="E100" t="s">
        <v>16</v>
      </c>
      <c r="I100" t="s">
        <v>16</v>
      </c>
      <c r="M100" t="s">
        <v>11</v>
      </c>
      <c r="Q100" t="s">
        <v>16</v>
      </c>
      <c r="U100" t="s">
        <v>3054</v>
      </c>
      <c r="Y100" t="s">
        <v>4045</v>
      </c>
      <c r="AC100" t="s">
        <v>28</v>
      </c>
      <c r="AG100" t="s">
        <v>5011</v>
      </c>
    </row>
    <row r="101" spans="1:33" x14ac:dyDescent="0.25">
      <c r="A101" t="s">
        <v>2759</v>
      </c>
      <c r="E101" t="s">
        <v>1108</v>
      </c>
      <c r="I101" t="s">
        <v>378</v>
      </c>
      <c r="M101" t="s">
        <v>933</v>
      </c>
      <c r="Q101" t="s">
        <v>2951</v>
      </c>
      <c r="U101" t="s">
        <v>3055</v>
      </c>
      <c r="Y101" t="s">
        <v>4046</v>
      </c>
      <c r="AC101" t="s">
        <v>4976</v>
      </c>
      <c r="AG101" t="s">
        <v>5063</v>
      </c>
    </row>
    <row r="102" spans="1:33" x14ac:dyDescent="0.25">
      <c r="A102" t="s">
        <v>18</v>
      </c>
      <c r="E102" t="s">
        <v>18</v>
      </c>
      <c r="I102" t="s">
        <v>18</v>
      </c>
      <c r="M102" t="s">
        <v>934</v>
      </c>
      <c r="Q102" t="s">
        <v>18</v>
      </c>
      <c r="U102" t="s">
        <v>3056</v>
      </c>
      <c r="Y102" t="s">
        <v>4047</v>
      </c>
      <c r="AC102" t="s">
        <v>30</v>
      </c>
      <c r="AG102" t="s">
        <v>5009</v>
      </c>
    </row>
    <row r="103" spans="1:33" x14ac:dyDescent="0.25">
      <c r="A103" t="s">
        <v>19</v>
      </c>
      <c r="E103" t="s">
        <v>19</v>
      </c>
      <c r="I103" t="s">
        <v>19</v>
      </c>
      <c r="M103" t="s">
        <v>935</v>
      </c>
      <c r="Q103" t="s">
        <v>19</v>
      </c>
      <c r="U103" t="s">
        <v>3057</v>
      </c>
      <c r="Y103" t="s">
        <v>4048</v>
      </c>
      <c r="AC103" t="s">
        <v>31</v>
      </c>
      <c r="AG103" t="s">
        <v>5064</v>
      </c>
    </row>
    <row r="104" spans="1:33" x14ac:dyDescent="0.25">
      <c r="A104" t="s">
        <v>20</v>
      </c>
      <c r="E104" t="s">
        <v>20</v>
      </c>
      <c r="I104" t="s">
        <v>20</v>
      </c>
      <c r="M104" t="s">
        <v>936</v>
      </c>
      <c r="Q104" t="s">
        <v>20</v>
      </c>
      <c r="U104" t="s">
        <v>3058</v>
      </c>
      <c r="Y104" t="s">
        <v>4049</v>
      </c>
      <c r="AC104" t="s">
        <v>32</v>
      </c>
      <c r="AG104" t="s">
        <v>5011</v>
      </c>
    </row>
    <row r="105" spans="1:33" x14ac:dyDescent="0.25">
      <c r="A105" t="s">
        <v>2760</v>
      </c>
      <c r="E105" t="s">
        <v>2820</v>
      </c>
      <c r="I105" t="s">
        <v>2888</v>
      </c>
      <c r="M105" t="s">
        <v>181</v>
      </c>
      <c r="Q105" t="s">
        <v>2952</v>
      </c>
      <c r="U105" t="s">
        <v>3059</v>
      </c>
      <c r="Y105" t="s">
        <v>4050</v>
      </c>
      <c r="AC105" t="s">
        <v>4977</v>
      </c>
      <c r="AG105" t="s">
        <v>5065</v>
      </c>
    </row>
    <row r="106" spans="1:33" x14ac:dyDescent="0.25">
      <c r="A106" t="s">
        <v>22</v>
      </c>
      <c r="E106" t="s">
        <v>22</v>
      </c>
      <c r="I106" t="s">
        <v>22</v>
      </c>
      <c r="M106" t="s">
        <v>182</v>
      </c>
      <c r="Q106" t="s">
        <v>22</v>
      </c>
      <c r="U106" t="s">
        <v>3060</v>
      </c>
      <c r="Y106" t="s">
        <v>4051</v>
      </c>
      <c r="AC106" t="s">
        <v>34</v>
      </c>
      <c r="AG106" t="s">
        <v>5019</v>
      </c>
    </row>
    <row r="107" spans="1:33" x14ac:dyDescent="0.25">
      <c r="A107" t="s">
        <v>2761</v>
      </c>
      <c r="E107" t="s">
        <v>2821</v>
      </c>
      <c r="I107" t="s">
        <v>2889</v>
      </c>
      <c r="M107" t="s">
        <v>2737</v>
      </c>
      <c r="Q107" t="s">
        <v>2953</v>
      </c>
      <c r="U107" t="s">
        <v>3061</v>
      </c>
      <c r="Y107" t="s">
        <v>4052</v>
      </c>
      <c r="AC107" t="s">
        <v>4978</v>
      </c>
      <c r="AG107" t="s">
        <v>5066</v>
      </c>
    </row>
    <row r="108" spans="1:33" x14ac:dyDescent="0.25">
      <c r="A108" t="s">
        <v>24</v>
      </c>
      <c r="E108" t="s">
        <v>24</v>
      </c>
      <c r="I108" t="s">
        <v>24</v>
      </c>
      <c r="M108" t="s">
        <v>15</v>
      </c>
      <c r="Q108" t="s">
        <v>24</v>
      </c>
      <c r="U108" t="s">
        <v>3062</v>
      </c>
      <c r="Y108" t="s">
        <v>4053</v>
      </c>
      <c r="AC108" t="s">
        <v>36</v>
      </c>
      <c r="AG108" t="s">
        <v>5021</v>
      </c>
    </row>
    <row r="109" spans="1:33" x14ac:dyDescent="0.25">
      <c r="A109" t="s">
        <v>25</v>
      </c>
      <c r="E109" t="s">
        <v>25</v>
      </c>
      <c r="I109" t="s">
        <v>2874</v>
      </c>
      <c r="M109" t="s">
        <v>151</v>
      </c>
      <c r="Q109" t="s">
        <v>2874</v>
      </c>
      <c r="U109" t="s">
        <v>3063</v>
      </c>
      <c r="Y109" t="s">
        <v>4054</v>
      </c>
      <c r="AC109" t="s">
        <v>37</v>
      </c>
      <c r="AG109" t="s">
        <v>5067</v>
      </c>
    </row>
    <row r="110" spans="1:33" x14ac:dyDescent="0.25">
      <c r="A110" t="s">
        <v>26</v>
      </c>
      <c r="E110" t="s">
        <v>26</v>
      </c>
      <c r="I110" t="s">
        <v>26</v>
      </c>
      <c r="M110" t="s">
        <v>1048</v>
      </c>
      <c r="Q110" t="s">
        <v>26</v>
      </c>
      <c r="U110" t="s">
        <v>3064</v>
      </c>
      <c r="Y110" t="s">
        <v>4055</v>
      </c>
      <c r="AC110" t="s">
        <v>38</v>
      </c>
      <c r="AG110" t="s">
        <v>5068</v>
      </c>
    </row>
    <row r="111" spans="1:33" x14ac:dyDescent="0.25">
      <c r="M111" t="s">
        <v>149</v>
      </c>
      <c r="U111" t="s">
        <v>3065</v>
      </c>
      <c r="Y111" t="s">
        <v>4056</v>
      </c>
      <c r="AG111" t="s">
        <v>5069</v>
      </c>
    </row>
    <row r="112" spans="1:33" x14ac:dyDescent="0.25">
      <c r="A112" t="s">
        <v>2738</v>
      </c>
      <c r="E112" t="s">
        <v>2738</v>
      </c>
      <c r="I112" t="s">
        <v>2738</v>
      </c>
      <c r="M112" t="s">
        <v>1049</v>
      </c>
      <c r="Q112" t="s">
        <v>2738</v>
      </c>
      <c r="U112" t="s">
        <v>3066</v>
      </c>
      <c r="Y112" t="s">
        <v>4057</v>
      </c>
      <c r="AC112" t="s">
        <v>2737</v>
      </c>
      <c r="AG112" t="s">
        <v>5070</v>
      </c>
    </row>
    <row r="113" spans="1:33" x14ac:dyDescent="0.25">
      <c r="A113" t="s">
        <v>9</v>
      </c>
      <c r="E113" t="s">
        <v>9</v>
      </c>
      <c r="I113" t="s">
        <v>9</v>
      </c>
      <c r="M113" t="s">
        <v>151</v>
      </c>
      <c r="Q113" t="s">
        <v>9</v>
      </c>
      <c r="U113" t="s">
        <v>3067</v>
      </c>
      <c r="Y113" t="s">
        <v>4058</v>
      </c>
      <c r="AC113" t="s">
        <v>15</v>
      </c>
      <c r="AG113" t="s">
        <v>5071</v>
      </c>
    </row>
    <row r="114" spans="1:33" x14ac:dyDescent="0.25">
      <c r="A114" t="s">
        <v>2762</v>
      </c>
      <c r="E114" t="s">
        <v>2822</v>
      </c>
      <c r="I114" t="s">
        <v>2890</v>
      </c>
      <c r="M114" t="s">
        <v>1050</v>
      </c>
      <c r="Q114" t="s">
        <v>2954</v>
      </c>
      <c r="U114" t="s">
        <v>3068</v>
      </c>
      <c r="Y114" t="s">
        <v>4059</v>
      </c>
      <c r="AC114" t="s">
        <v>4979</v>
      </c>
      <c r="AG114" t="s">
        <v>5030</v>
      </c>
    </row>
    <row r="115" spans="1:33" x14ac:dyDescent="0.25">
      <c r="A115" t="s">
        <v>28</v>
      </c>
      <c r="E115" t="s">
        <v>28</v>
      </c>
      <c r="I115" t="s">
        <v>28</v>
      </c>
      <c r="M115" t="s">
        <v>149</v>
      </c>
      <c r="Q115" t="s">
        <v>28</v>
      </c>
      <c r="U115" t="s">
        <v>3069</v>
      </c>
      <c r="Y115" t="s">
        <v>4060</v>
      </c>
      <c r="AC115" t="s">
        <v>16</v>
      </c>
      <c r="AG115" t="s">
        <v>5072</v>
      </c>
    </row>
    <row r="116" spans="1:33" x14ac:dyDescent="0.25">
      <c r="A116" t="s">
        <v>2763</v>
      </c>
      <c r="E116" t="s">
        <v>2823</v>
      </c>
      <c r="I116" t="s">
        <v>2891</v>
      </c>
      <c r="M116" t="s">
        <v>1051</v>
      </c>
      <c r="Q116" t="s">
        <v>2947</v>
      </c>
      <c r="U116" t="s">
        <v>3070</v>
      </c>
      <c r="Y116" t="s">
        <v>4061</v>
      </c>
      <c r="AC116" t="s">
        <v>4980</v>
      </c>
      <c r="AG116" t="s">
        <v>5032</v>
      </c>
    </row>
    <row r="117" spans="1:33" x14ac:dyDescent="0.25">
      <c r="A117" t="s">
        <v>30</v>
      </c>
      <c r="E117" t="s">
        <v>30</v>
      </c>
      <c r="I117" t="s">
        <v>30</v>
      </c>
      <c r="M117" t="s">
        <v>160</v>
      </c>
      <c r="Q117" t="s">
        <v>30</v>
      </c>
      <c r="U117" t="s">
        <v>3071</v>
      </c>
      <c r="Y117" t="s">
        <v>4062</v>
      </c>
      <c r="AC117" t="s">
        <v>18</v>
      </c>
      <c r="AG117" t="s">
        <v>5073</v>
      </c>
    </row>
    <row r="118" spans="1:33" x14ac:dyDescent="0.25">
      <c r="A118" t="s">
        <v>31</v>
      </c>
      <c r="E118" t="s">
        <v>31</v>
      </c>
      <c r="I118" t="s">
        <v>31</v>
      </c>
      <c r="M118" t="s">
        <v>1052</v>
      </c>
      <c r="Q118" t="s">
        <v>31</v>
      </c>
      <c r="U118" t="s">
        <v>3072</v>
      </c>
      <c r="Y118" t="s">
        <v>4063</v>
      </c>
      <c r="AC118" t="s">
        <v>19</v>
      </c>
      <c r="AG118" t="s">
        <v>5074</v>
      </c>
    </row>
    <row r="119" spans="1:33" x14ac:dyDescent="0.25">
      <c r="A119" t="s">
        <v>32</v>
      </c>
      <c r="E119" t="s">
        <v>32</v>
      </c>
      <c r="I119" t="s">
        <v>32</v>
      </c>
      <c r="M119" t="s">
        <v>1053</v>
      </c>
      <c r="Q119" t="s">
        <v>32</v>
      </c>
      <c r="U119" t="s">
        <v>3073</v>
      </c>
      <c r="Y119" t="s">
        <v>4064</v>
      </c>
      <c r="AC119" t="s">
        <v>20</v>
      </c>
      <c r="AG119" t="s">
        <v>5075</v>
      </c>
    </row>
    <row r="120" spans="1:33" x14ac:dyDescent="0.25">
      <c r="A120" t="s">
        <v>2764</v>
      </c>
      <c r="E120" t="s">
        <v>2824</v>
      </c>
      <c r="I120" t="s">
        <v>2892</v>
      </c>
      <c r="M120" t="s">
        <v>1054</v>
      </c>
      <c r="Q120" t="s">
        <v>2955</v>
      </c>
      <c r="U120" t="s">
        <v>3074</v>
      </c>
      <c r="Y120" t="s">
        <v>4065</v>
      </c>
      <c r="AC120" t="s">
        <v>4981</v>
      </c>
      <c r="AG120" t="s">
        <v>5076</v>
      </c>
    </row>
    <row r="121" spans="1:33" x14ac:dyDescent="0.25">
      <c r="A121" t="s">
        <v>34</v>
      </c>
      <c r="E121" t="s">
        <v>34</v>
      </c>
      <c r="I121" t="s">
        <v>34</v>
      </c>
      <c r="M121" t="s">
        <v>160</v>
      </c>
      <c r="Q121" t="s">
        <v>34</v>
      </c>
      <c r="U121" t="s">
        <v>3075</v>
      </c>
      <c r="Y121" t="s">
        <v>4066</v>
      </c>
      <c r="AC121" t="s">
        <v>22</v>
      </c>
      <c r="AG121" t="s">
        <v>5077</v>
      </c>
    </row>
    <row r="122" spans="1:33" x14ac:dyDescent="0.25">
      <c r="A122" t="s">
        <v>2765</v>
      </c>
      <c r="E122" t="s">
        <v>2825</v>
      </c>
      <c r="I122" t="s">
        <v>2893</v>
      </c>
      <c r="M122" t="s">
        <v>1055</v>
      </c>
      <c r="Q122" t="s">
        <v>2956</v>
      </c>
      <c r="U122" t="s">
        <v>3076</v>
      </c>
      <c r="Y122" t="s">
        <v>4067</v>
      </c>
      <c r="AC122" t="s">
        <v>4982</v>
      </c>
      <c r="AG122" t="s">
        <v>5040</v>
      </c>
    </row>
    <row r="123" spans="1:33" x14ac:dyDescent="0.25">
      <c r="A123" t="s">
        <v>36</v>
      </c>
      <c r="E123" t="s">
        <v>36</v>
      </c>
      <c r="I123" t="s">
        <v>36</v>
      </c>
      <c r="M123" t="s">
        <v>155</v>
      </c>
      <c r="Q123" t="s">
        <v>36</v>
      </c>
      <c r="U123" t="s">
        <v>3077</v>
      </c>
      <c r="Y123" t="s">
        <v>4068</v>
      </c>
      <c r="AC123" t="s">
        <v>24</v>
      </c>
      <c r="AG123" t="s">
        <v>5078</v>
      </c>
    </row>
    <row r="124" spans="1:33" x14ac:dyDescent="0.25">
      <c r="A124" t="s">
        <v>37</v>
      </c>
      <c r="E124" t="s">
        <v>37</v>
      </c>
      <c r="I124" t="s">
        <v>2869</v>
      </c>
      <c r="M124" t="s">
        <v>1056</v>
      </c>
      <c r="Q124" t="s">
        <v>2869</v>
      </c>
      <c r="U124" t="s">
        <v>3078</v>
      </c>
      <c r="Y124" t="s">
        <v>4069</v>
      </c>
      <c r="AC124" t="s">
        <v>25</v>
      </c>
      <c r="AG124" t="s">
        <v>5042</v>
      </c>
    </row>
    <row r="125" spans="1:33" x14ac:dyDescent="0.25">
      <c r="A125" t="s">
        <v>38</v>
      </c>
      <c r="E125" t="s">
        <v>38</v>
      </c>
      <c r="I125" t="s">
        <v>38</v>
      </c>
      <c r="M125" t="s">
        <v>160</v>
      </c>
      <c r="Q125" t="s">
        <v>38</v>
      </c>
      <c r="U125" t="s">
        <v>3079</v>
      </c>
      <c r="Y125" t="s">
        <v>4070</v>
      </c>
      <c r="AC125" t="s">
        <v>26</v>
      </c>
      <c r="AG125" t="s">
        <v>5079</v>
      </c>
    </row>
    <row r="126" spans="1:33" x14ac:dyDescent="0.25">
      <c r="M126" t="s">
        <v>1057</v>
      </c>
      <c r="U126" t="s">
        <v>3080</v>
      </c>
      <c r="Y126" t="s">
        <v>4071</v>
      </c>
      <c r="AG126" t="s">
        <v>5080</v>
      </c>
    </row>
    <row r="127" spans="1:33" x14ac:dyDescent="0.25">
      <c r="A127" t="s">
        <v>2737</v>
      </c>
      <c r="E127" t="s">
        <v>2737</v>
      </c>
      <c r="I127" t="s">
        <v>2737</v>
      </c>
      <c r="M127" t="s">
        <v>155</v>
      </c>
      <c r="Q127" t="s">
        <v>2737</v>
      </c>
      <c r="U127" t="s">
        <v>3081</v>
      </c>
      <c r="Y127" t="s">
        <v>4072</v>
      </c>
      <c r="AC127" t="s">
        <v>2738</v>
      </c>
      <c r="AG127" t="s">
        <v>5081</v>
      </c>
    </row>
    <row r="128" spans="1:33" x14ac:dyDescent="0.25">
      <c r="A128" t="s">
        <v>15</v>
      </c>
      <c r="E128" t="s">
        <v>15</v>
      </c>
      <c r="I128" t="s">
        <v>15</v>
      </c>
      <c r="M128" t="s">
        <v>1058</v>
      </c>
      <c r="Q128" t="s">
        <v>15</v>
      </c>
      <c r="U128" t="s">
        <v>3082</v>
      </c>
      <c r="Y128" t="s">
        <v>4073</v>
      </c>
      <c r="AC128" t="s">
        <v>9</v>
      </c>
      <c r="AG128" t="s">
        <v>5082</v>
      </c>
    </row>
    <row r="129" spans="1:33" x14ac:dyDescent="0.25">
      <c r="A129" t="s">
        <v>2766</v>
      </c>
      <c r="E129" t="s">
        <v>2826</v>
      </c>
      <c r="I129" t="s">
        <v>2894</v>
      </c>
      <c r="M129" t="s">
        <v>160</v>
      </c>
      <c r="Q129" t="s">
        <v>2957</v>
      </c>
      <c r="U129" t="s">
        <v>3083</v>
      </c>
      <c r="Y129" t="s">
        <v>4074</v>
      </c>
      <c r="AC129" t="s">
        <v>4983</v>
      </c>
      <c r="AG129" t="s">
        <v>5083</v>
      </c>
    </row>
    <row r="130" spans="1:33" x14ac:dyDescent="0.25">
      <c r="A130" t="s">
        <v>16</v>
      </c>
      <c r="E130" t="s">
        <v>16</v>
      </c>
      <c r="I130" t="s">
        <v>16</v>
      </c>
      <c r="M130" t="s">
        <v>1059</v>
      </c>
      <c r="Q130" t="s">
        <v>16</v>
      </c>
      <c r="U130" t="s">
        <v>3084</v>
      </c>
      <c r="Y130" t="s">
        <v>4075</v>
      </c>
      <c r="AC130" t="s">
        <v>28</v>
      </c>
      <c r="AG130" t="s">
        <v>5050</v>
      </c>
    </row>
    <row r="131" spans="1:33" x14ac:dyDescent="0.25">
      <c r="A131" t="s">
        <v>2767</v>
      </c>
      <c r="E131" t="s">
        <v>2827</v>
      </c>
      <c r="I131" t="s">
        <v>2895</v>
      </c>
      <c r="M131" t="s">
        <v>2383</v>
      </c>
      <c r="Q131" t="s">
        <v>2958</v>
      </c>
      <c r="U131" t="s">
        <v>3085</v>
      </c>
      <c r="Y131" t="s">
        <v>4076</v>
      </c>
      <c r="AC131" t="s">
        <v>4984</v>
      </c>
      <c r="AG131" t="s">
        <v>5084</v>
      </c>
    </row>
    <row r="132" spans="1:33" x14ac:dyDescent="0.25">
      <c r="A132" t="s">
        <v>18</v>
      </c>
      <c r="E132" t="s">
        <v>18</v>
      </c>
      <c r="I132" t="s">
        <v>18</v>
      </c>
      <c r="M132" t="s">
        <v>1060</v>
      </c>
      <c r="Q132" t="s">
        <v>18</v>
      </c>
      <c r="U132" t="s">
        <v>3086</v>
      </c>
      <c r="Y132" t="s">
        <v>4077</v>
      </c>
      <c r="AC132" t="s">
        <v>30</v>
      </c>
      <c r="AG132" t="s">
        <v>5052</v>
      </c>
    </row>
    <row r="133" spans="1:33" x14ac:dyDescent="0.25">
      <c r="A133" t="s">
        <v>19</v>
      </c>
      <c r="E133" t="s">
        <v>19</v>
      </c>
      <c r="I133" t="s">
        <v>19</v>
      </c>
      <c r="M133" t="s">
        <v>169</v>
      </c>
      <c r="Q133" t="s">
        <v>19</v>
      </c>
      <c r="U133" t="s">
        <v>3087</v>
      </c>
      <c r="Y133" t="s">
        <v>4078</v>
      </c>
      <c r="AC133" t="s">
        <v>31</v>
      </c>
      <c r="AG133" t="s">
        <v>5085</v>
      </c>
    </row>
    <row r="134" spans="1:33" x14ac:dyDescent="0.25">
      <c r="A134" t="s">
        <v>20</v>
      </c>
      <c r="E134" t="s">
        <v>20</v>
      </c>
      <c r="I134" t="s">
        <v>20</v>
      </c>
      <c r="M134" t="s">
        <v>1061</v>
      </c>
      <c r="Q134" t="s">
        <v>20</v>
      </c>
      <c r="U134" t="s">
        <v>3088</v>
      </c>
      <c r="Y134" t="s">
        <v>4079</v>
      </c>
      <c r="AC134" t="s">
        <v>32</v>
      </c>
      <c r="AG134" t="s">
        <v>5086</v>
      </c>
    </row>
    <row r="135" spans="1:33" x14ac:dyDescent="0.25">
      <c r="A135" t="s">
        <v>2768</v>
      </c>
      <c r="E135" t="s">
        <v>2828</v>
      </c>
      <c r="I135" t="s">
        <v>2896</v>
      </c>
      <c r="M135" t="s">
        <v>931</v>
      </c>
      <c r="Q135" t="s">
        <v>2959</v>
      </c>
      <c r="U135" t="s">
        <v>3089</v>
      </c>
      <c r="Y135" t="s">
        <v>4080</v>
      </c>
      <c r="AC135" t="s">
        <v>4985</v>
      </c>
      <c r="AG135" t="s">
        <v>5087</v>
      </c>
    </row>
    <row r="136" spans="1:33" x14ac:dyDescent="0.25">
      <c r="A136" t="s">
        <v>22</v>
      </c>
      <c r="E136" t="s">
        <v>22</v>
      </c>
      <c r="I136" t="s">
        <v>22</v>
      </c>
      <c r="M136" t="s">
        <v>1062</v>
      </c>
      <c r="Q136" t="s">
        <v>22</v>
      </c>
      <c r="U136" t="s">
        <v>3090</v>
      </c>
      <c r="Y136" t="s">
        <v>4081</v>
      </c>
      <c r="AC136" t="s">
        <v>34</v>
      </c>
      <c r="AG136" t="s">
        <v>5088</v>
      </c>
    </row>
    <row r="137" spans="1:33" x14ac:dyDescent="0.25">
      <c r="A137" t="s">
        <v>2769</v>
      </c>
      <c r="E137" t="s">
        <v>2829</v>
      </c>
      <c r="I137" t="s">
        <v>2897</v>
      </c>
      <c r="M137" t="s">
        <v>1063</v>
      </c>
      <c r="Q137" t="s">
        <v>2960</v>
      </c>
      <c r="U137" t="s">
        <v>3091</v>
      </c>
      <c r="Y137" t="s">
        <v>4082</v>
      </c>
      <c r="AC137" t="s">
        <v>4986</v>
      </c>
      <c r="AG137" t="s">
        <v>5089</v>
      </c>
    </row>
    <row r="138" spans="1:33" x14ac:dyDescent="0.25">
      <c r="A138" t="s">
        <v>24</v>
      </c>
      <c r="E138" t="s">
        <v>24</v>
      </c>
      <c r="I138" t="s">
        <v>24</v>
      </c>
      <c r="M138" t="s">
        <v>1064</v>
      </c>
      <c r="Q138" t="s">
        <v>24</v>
      </c>
      <c r="U138" t="s">
        <v>3092</v>
      </c>
      <c r="Y138" t="s">
        <v>4083</v>
      </c>
      <c r="AC138" t="s">
        <v>36</v>
      </c>
      <c r="AG138" t="s">
        <v>5059</v>
      </c>
    </row>
    <row r="139" spans="1:33" x14ac:dyDescent="0.25">
      <c r="A139" t="s">
        <v>25</v>
      </c>
      <c r="E139" t="s">
        <v>25</v>
      </c>
      <c r="I139" t="s">
        <v>2874</v>
      </c>
      <c r="M139" t="s">
        <v>1065</v>
      </c>
      <c r="Q139" t="s">
        <v>2874</v>
      </c>
      <c r="U139" t="s">
        <v>3093</v>
      </c>
      <c r="Y139" t="s">
        <v>4084</v>
      </c>
      <c r="AC139" t="s">
        <v>37</v>
      </c>
      <c r="AG139" t="s">
        <v>5090</v>
      </c>
    </row>
    <row r="140" spans="1:33" x14ac:dyDescent="0.25">
      <c r="A140" t="s">
        <v>26</v>
      </c>
      <c r="E140" t="s">
        <v>26</v>
      </c>
      <c r="I140" t="s">
        <v>26</v>
      </c>
      <c r="M140" t="s">
        <v>1066</v>
      </c>
      <c r="Q140" t="s">
        <v>26</v>
      </c>
      <c r="U140" t="s">
        <v>3094</v>
      </c>
      <c r="Y140" t="s">
        <v>4085</v>
      </c>
      <c r="AC140" t="s">
        <v>38</v>
      </c>
      <c r="AG140" t="s">
        <v>5007</v>
      </c>
    </row>
    <row r="141" spans="1:33" x14ac:dyDescent="0.25">
      <c r="M141" t="s">
        <v>169</v>
      </c>
      <c r="U141" t="s">
        <v>3095</v>
      </c>
      <c r="Y141" t="s">
        <v>4086</v>
      </c>
      <c r="AG141" t="s">
        <v>5091</v>
      </c>
    </row>
    <row r="142" spans="1:33" x14ac:dyDescent="0.25">
      <c r="A142" t="s">
        <v>2738</v>
      </c>
      <c r="E142" t="s">
        <v>2738</v>
      </c>
      <c r="I142" t="s">
        <v>2738</v>
      </c>
      <c r="M142" t="s">
        <v>1068</v>
      </c>
      <c r="Q142" t="s">
        <v>2738</v>
      </c>
      <c r="U142" t="s">
        <v>3096</v>
      </c>
      <c r="Y142" t="s">
        <v>4087</v>
      </c>
      <c r="AC142" t="s">
        <v>2737</v>
      </c>
      <c r="AG142" t="s">
        <v>5092</v>
      </c>
    </row>
    <row r="143" spans="1:33" x14ac:dyDescent="0.25">
      <c r="A143" t="s">
        <v>9</v>
      </c>
      <c r="E143" t="s">
        <v>9</v>
      </c>
      <c r="I143" t="s">
        <v>9</v>
      </c>
      <c r="M143" t="s">
        <v>179</v>
      </c>
      <c r="Q143" t="s">
        <v>9</v>
      </c>
      <c r="U143" t="s">
        <v>3097</v>
      </c>
      <c r="Y143" t="s">
        <v>4088</v>
      </c>
      <c r="AC143" t="s">
        <v>15</v>
      </c>
      <c r="AG143" t="s">
        <v>5093</v>
      </c>
    </row>
    <row r="144" spans="1:33" x14ac:dyDescent="0.25">
      <c r="A144" t="s">
        <v>2770</v>
      </c>
      <c r="E144" t="s">
        <v>2830</v>
      </c>
      <c r="I144" t="s">
        <v>2898</v>
      </c>
      <c r="M144" t="s">
        <v>1069</v>
      </c>
      <c r="Q144" t="s">
        <v>2961</v>
      </c>
      <c r="U144" t="s">
        <v>3098</v>
      </c>
      <c r="Y144" t="s">
        <v>4089</v>
      </c>
      <c r="AC144" t="s">
        <v>4987</v>
      </c>
      <c r="AG144" t="s">
        <v>5094</v>
      </c>
    </row>
    <row r="145" spans="1:33" x14ac:dyDescent="0.25">
      <c r="A145" t="s">
        <v>28</v>
      </c>
      <c r="E145" t="s">
        <v>28</v>
      </c>
      <c r="I145" t="s">
        <v>28</v>
      </c>
      <c r="M145" t="s">
        <v>177</v>
      </c>
      <c r="Q145" t="s">
        <v>28</v>
      </c>
      <c r="U145" t="s">
        <v>3099</v>
      </c>
      <c r="Y145" t="s">
        <v>4090</v>
      </c>
      <c r="AC145" t="s">
        <v>16</v>
      </c>
      <c r="AG145" t="s">
        <v>5095</v>
      </c>
    </row>
    <row r="146" spans="1:33" x14ac:dyDescent="0.25">
      <c r="A146" t="s">
        <v>2748</v>
      </c>
      <c r="E146" t="s">
        <v>2831</v>
      </c>
      <c r="I146" t="s">
        <v>2899</v>
      </c>
      <c r="M146" t="s">
        <v>1070</v>
      </c>
      <c r="Q146" t="s">
        <v>735</v>
      </c>
      <c r="U146" t="s">
        <v>3100</v>
      </c>
      <c r="Y146" t="s">
        <v>4091</v>
      </c>
      <c r="AC146" t="s">
        <v>4988</v>
      </c>
      <c r="AG146" t="s">
        <v>5096</v>
      </c>
    </row>
    <row r="147" spans="1:33" x14ac:dyDescent="0.25">
      <c r="A147" t="s">
        <v>30</v>
      </c>
      <c r="E147" t="s">
        <v>30</v>
      </c>
      <c r="I147" t="s">
        <v>30</v>
      </c>
      <c r="M147" t="s">
        <v>6</v>
      </c>
      <c r="Q147" t="s">
        <v>30</v>
      </c>
      <c r="U147" t="s">
        <v>3101</v>
      </c>
      <c r="Y147" t="s">
        <v>4092</v>
      </c>
      <c r="AC147" t="s">
        <v>18</v>
      </c>
      <c r="AG147" t="s">
        <v>5097</v>
      </c>
    </row>
    <row r="148" spans="1:33" x14ac:dyDescent="0.25">
      <c r="A148" t="s">
        <v>31</v>
      </c>
      <c r="E148" t="s">
        <v>31</v>
      </c>
      <c r="I148" t="s">
        <v>31</v>
      </c>
      <c r="M148" t="s">
        <v>7</v>
      </c>
      <c r="Q148" t="s">
        <v>31</v>
      </c>
      <c r="U148" t="s">
        <v>3102</v>
      </c>
      <c r="Y148" t="s">
        <v>4093</v>
      </c>
      <c r="AC148" t="s">
        <v>19</v>
      </c>
      <c r="AG148" t="s">
        <v>5098</v>
      </c>
    </row>
    <row r="149" spans="1:33" x14ac:dyDescent="0.25">
      <c r="A149" t="s">
        <v>32</v>
      </c>
      <c r="E149" t="s">
        <v>32</v>
      </c>
      <c r="I149" t="s">
        <v>32</v>
      </c>
      <c r="M149" t="s">
        <v>2862</v>
      </c>
      <c r="Q149" t="s">
        <v>32</v>
      </c>
      <c r="U149" t="s">
        <v>3103</v>
      </c>
      <c r="Y149" t="s">
        <v>4094</v>
      </c>
      <c r="AC149" t="s">
        <v>20</v>
      </c>
      <c r="AG149" t="s">
        <v>5099</v>
      </c>
    </row>
    <row r="150" spans="1:33" x14ac:dyDescent="0.25">
      <c r="A150" t="s">
        <v>2771</v>
      </c>
      <c r="E150" t="s">
        <v>2832</v>
      </c>
      <c r="I150" t="s">
        <v>2900</v>
      </c>
      <c r="M150" t="s">
        <v>1072</v>
      </c>
      <c r="Q150" t="s">
        <v>2962</v>
      </c>
      <c r="U150" t="s">
        <v>3104</v>
      </c>
      <c r="Y150" t="s">
        <v>4095</v>
      </c>
      <c r="AC150" t="s">
        <v>4989</v>
      </c>
      <c r="AG150" t="s">
        <v>5100</v>
      </c>
    </row>
    <row r="151" spans="1:33" x14ac:dyDescent="0.25">
      <c r="A151" t="s">
        <v>34</v>
      </c>
      <c r="E151" t="s">
        <v>34</v>
      </c>
      <c r="I151" t="s">
        <v>34</v>
      </c>
      <c r="M151" t="s">
        <v>2863</v>
      </c>
      <c r="Q151" t="s">
        <v>34</v>
      </c>
      <c r="U151" t="s">
        <v>3105</v>
      </c>
      <c r="Y151" t="s">
        <v>4096</v>
      </c>
      <c r="AC151" t="s">
        <v>22</v>
      </c>
      <c r="AG151" t="s">
        <v>5101</v>
      </c>
    </row>
    <row r="152" spans="1:33" x14ac:dyDescent="0.25">
      <c r="A152" t="s">
        <v>2772</v>
      </c>
      <c r="E152" t="s">
        <v>2833</v>
      </c>
      <c r="I152" t="s">
        <v>2901</v>
      </c>
      <c r="M152" t="s">
        <v>1074</v>
      </c>
      <c r="Q152" t="s">
        <v>2963</v>
      </c>
      <c r="U152" t="s">
        <v>3106</v>
      </c>
      <c r="Y152" t="s">
        <v>4097</v>
      </c>
      <c r="AC152" t="s">
        <v>4990</v>
      </c>
      <c r="AG152" t="s">
        <v>5102</v>
      </c>
    </row>
    <row r="153" spans="1:33" x14ac:dyDescent="0.25">
      <c r="A153" t="s">
        <v>36</v>
      </c>
      <c r="E153" t="s">
        <v>36</v>
      </c>
      <c r="I153" t="s">
        <v>36</v>
      </c>
      <c r="M153" t="s">
        <v>12</v>
      </c>
      <c r="Q153" t="s">
        <v>36</v>
      </c>
      <c r="U153" t="s">
        <v>3107</v>
      </c>
      <c r="Y153" t="s">
        <v>4098</v>
      </c>
      <c r="AC153" t="s">
        <v>24</v>
      </c>
      <c r="AG153" t="s">
        <v>5103</v>
      </c>
    </row>
    <row r="154" spans="1:33" x14ac:dyDescent="0.25">
      <c r="A154" t="s">
        <v>37</v>
      </c>
      <c r="E154" t="s">
        <v>37</v>
      </c>
      <c r="I154" t="s">
        <v>2869</v>
      </c>
      <c r="M154" t="s">
        <v>13</v>
      </c>
      <c r="Q154" t="s">
        <v>2869</v>
      </c>
      <c r="U154" t="s">
        <v>3108</v>
      </c>
      <c r="Y154" t="s">
        <v>4099</v>
      </c>
      <c r="AC154" t="s">
        <v>25</v>
      </c>
      <c r="AG154" t="s">
        <v>5104</v>
      </c>
    </row>
    <row r="155" spans="1:33" x14ac:dyDescent="0.25">
      <c r="A155" t="s">
        <v>38</v>
      </c>
      <c r="E155" t="s">
        <v>38</v>
      </c>
      <c r="I155" t="s">
        <v>38</v>
      </c>
      <c r="M155" t="s">
        <v>10</v>
      </c>
      <c r="Q155" t="s">
        <v>38</v>
      </c>
      <c r="U155" t="s">
        <v>3109</v>
      </c>
      <c r="Y155" t="s">
        <v>4100</v>
      </c>
      <c r="AC155" t="s">
        <v>26</v>
      </c>
      <c r="AG155" t="s">
        <v>5105</v>
      </c>
    </row>
    <row r="156" spans="1:33" x14ac:dyDescent="0.25">
      <c r="M156" t="s">
        <v>11</v>
      </c>
      <c r="U156" t="s">
        <v>3110</v>
      </c>
      <c r="Y156" t="s">
        <v>4101</v>
      </c>
      <c r="AG156" t="s">
        <v>5106</v>
      </c>
    </row>
    <row r="157" spans="1:33" x14ac:dyDescent="0.25">
      <c r="A157" t="s">
        <v>2737</v>
      </c>
      <c r="E157" t="s">
        <v>2737</v>
      </c>
      <c r="I157" t="s">
        <v>10</v>
      </c>
      <c r="M157" t="s">
        <v>12</v>
      </c>
      <c r="Q157" t="s">
        <v>2737</v>
      </c>
      <c r="U157" t="s">
        <v>3111</v>
      </c>
      <c r="Y157" t="s">
        <v>4102</v>
      </c>
      <c r="AC157" t="s">
        <v>2738</v>
      </c>
      <c r="AG157" t="s">
        <v>5107</v>
      </c>
    </row>
    <row r="158" spans="1:33" x14ac:dyDescent="0.25">
      <c r="A158" t="s">
        <v>15</v>
      </c>
      <c r="E158" t="s">
        <v>15</v>
      </c>
      <c r="I158" t="s">
        <v>11</v>
      </c>
      <c r="M158" t="s">
        <v>13</v>
      </c>
      <c r="Q158" t="s">
        <v>15</v>
      </c>
      <c r="U158" t="s">
        <v>3112</v>
      </c>
      <c r="Y158" t="s">
        <v>4103</v>
      </c>
      <c r="AC158" t="s">
        <v>9</v>
      </c>
      <c r="AG158" t="s">
        <v>5108</v>
      </c>
    </row>
    <row r="159" spans="1:33" x14ac:dyDescent="0.25">
      <c r="A159" t="s">
        <v>2773</v>
      </c>
      <c r="E159" t="s">
        <v>2834</v>
      </c>
      <c r="I159" t="s">
        <v>12</v>
      </c>
      <c r="M159" t="s">
        <v>10</v>
      </c>
      <c r="Q159" t="s">
        <v>2964</v>
      </c>
      <c r="U159" t="s">
        <v>3113</v>
      </c>
      <c r="Y159" t="s">
        <v>4104</v>
      </c>
      <c r="AC159" t="s">
        <v>4991</v>
      </c>
      <c r="AG159" t="s">
        <v>5109</v>
      </c>
    </row>
    <row r="160" spans="1:33" x14ac:dyDescent="0.25">
      <c r="A160" t="s">
        <v>16</v>
      </c>
      <c r="E160" t="s">
        <v>16</v>
      </c>
      <c r="I160" t="s">
        <v>13</v>
      </c>
      <c r="M160" t="s">
        <v>11</v>
      </c>
      <c r="Q160" t="s">
        <v>16</v>
      </c>
      <c r="U160" t="s">
        <v>3114</v>
      </c>
      <c r="Y160" t="s">
        <v>4105</v>
      </c>
      <c r="AC160" t="s">
        <v>28</v>
      </c>
      <c r="AG160" t="s">
        <v>5110</v>
      </c>
    </row>
    <row r="161" spans="1:33" x14ac:dyDescent="0.25">
      <c r="A161" t="s">
        <v>2774</v>
      </c>
      <c r="E161" t="s">
        <v>2835</v>
      </c>
      <c r="I161" t="s">
        <v>2737</v>
      </c>
      <c r="M161" t="s">
        <v>2869</v>
      </c>
      <c r="Q161" t="s">
        <v>2965</v>
      </c>
      <c r="U161" t="s">
        <v>3115</v>
      </c>
      <c r="Y161" t="s">
        <v>4106</v>
      </c>
      <c r="AC161" t="s">
        <v>4992</v>
      </c>
      <c r="AG161" t="s">
        <v>5111</v>
      </c>
    </row>
    <row r="162" spans="1:33" x14ac:dyDescent="0.25">
      <c r="A162" t="s">
        <v>18</v>
      </c>
      <c r="E162" t="s">
        <v>18</v>
      </c>
      <c r="I162" t="s">
        <v>15</v>
      </c>
      <c r="M162" t="s">
        <v>38</v>
      </c>
      <c r="Q162" t="s">
        <v>18</v>
      </c>
      <c r="U162" t="s">
        <v>3116</v>
      </c>
      <c r="Y162" t="s">
        <v>4107</v>
      </c>
      <c r="AC162" t="s">
        <v>30</v>
      </c>
      <c r="AG162" t="s">
        <v>5112</v>
      </c>
    </row>
    <row r="163" spans="1:33" x14ac:dyDescent="0.25">
      <c r="A163" t="s">
        <v>19</v>
      </c>
      <c r="E163" t="s">
        <v>19</v>
      </c>
      <c r="I163" t="s">
        <v>2902</v>
      </c>
      <c r="M163" t="s">
        <v>10</v>
      </c>
      <c r="Q163" t="s">
        <v>19</v>
      </c>
      <c r="U163" t="s">
        <v>3117</v>
      </c>
      <c r="Y163" t="s">
        <v>4108</v>
      </c>
      <c r="AC163" t="s">
        <v>31</v>
      </c>
      <c r="AG163" t="s">
        <v>5113</v>
      </c>
    </row>
    <row r="164" spans="1:33" x14ac:dyDescent="0.25">
      <c r="A164" t="s">
        <v>20</v>
      </c>
      <c r="E164" t="s">
        <v>20</v>
      </c>
      <c r="I164" t="s">
        <v>16</v>
      </c>
      <c r="M164" t="s">
        <v>11</v>
      </c>
      <c r="Q164" t="s">
        <v>20</v>
      </c>
      <c r="U164" t="s">
        <v>3118</v>
      </c>
      <c r="Y164" t="s">
        <v>4109</v>
      </c>
      <c r="AC164" t="s">
        <v>32</v>
      </c>
      <c r="AG164" t="s">
        <v>5114</v>
      </c>
    </row>
    <row r="165" spans="1:33" x14ac:dyDescent="0.25">
      <c r="A165" t="s">
        <v>2775</v>
      </c>
      <c r="E165" t="s">
        <v>2836</v>
      </c>
      <c r="I165" t="s">
        <v>2903</v>
      </c>
      <c r="Q165" t="s">
        <v>2966</v>
      </c>
      <c r="U165" t="s">
        <v>3119</v>
      </c>
      <c r="Y165" t="s">
        <v>4110</v>
      </c>
      <c r="AC165" t="s">
        <v>4993</v>
      </c>
      <c r="AG165" t="s">
        <v>5115</v>
      </c>
    </row>
    <row r="166" spans="1:33" x14ac:dyDescent="0.25">
      <c r="A166" t="s">
        <v>22</v>
      </c>
      <c r="E166" t="s">
        <v>22</v>
      </c>
      <c r="I166" t="s">
        <v>18</v>
      </c>
      <c r="Q166" t="s">
        <v>22</v>
      </c>
      <c r="U166" t="s">
        <v>3120</v>
      </c>
      <c r="Y166" t="s">
        <v>4111</v>
      </c>
      <c r="AC166" t="s">
        <v>34</v>
      </c>
      <c r="AG166" t="s">
        <v>5116</v>
      </c>
    </row>
    <row r="167" spans="1:33" x14ac:dyDescent="0.25">
      <c r="A167" t="s">
        <v>2776</v>
      </c>
      <c r="E167" t="s">
        <v>2837</v>
      </c>
      <c r="I167" t="s">
        <v>19</v>
      </c>
      <c r="Q167" t="s">
        <v>2967</v>
      </c>
      <c r="U167" t="s">
        <v>3121</v>
      </c>
      <c r="Y167" t="s">
        <v>4112</v>
      </c>
      <c r="AC167" t="s">
        <v>4994</v>
      </c>
      <c r="AG167" t="s">
        <v>5117</v>
      </c>
    </row>
    <row r="168" spans="1:33" x14ac:dyDescent="0.25">
      <c r="A168" t="s">
        <v>24</v>
      </c>
      <c r="E168" t="s">
        <v>24</v>
      </c>
      <c r="I168" t="s">
        <v>20</v>
      </c>
      <c r="Q168" t="s">
        <v>24</v>
      </c>
      <c r="U168" t="s">
        <v>3122</v>
      </c>
      <c r="Y168" t="s">
        <v>4113</v>
      </c>
      <c r="AC168" t="s">
        <v>36</v>
      </c>
      <c r="AG168" t="s">
        <v>5118</v>
      </c>
    </row>
    <row r="169" spans="1:33" x14ac:dyDescent="0.25">
      <c r="A169" t="s">
        <v>25</v>
      </c>
      <c r="E169" t="s">
        <v>25</v>
      </c>
      <c r="I169" t="s">
        <v>2904</v>
      </c>
      <c r="Q169" t="s">
        <v>2874</v>
      </c>
      <c r="U169" t="s">
        <v>3123</v>
      </c>
      <c r="Y169" t="s">
        <v>4114</v>
      </c>
      <c r="AC169" t="s">
        <v>37</v>
      </c>
      <c r="AG169" t="s">
        <v>5119</v>
      </c>
    </row>
    <row r="170" spans="1:33" x14ac:dyDescent="0.25">
      <c r="A170" t="s">
        <v>26</v>
      </c>
      <c r="E170" t="s">
        <v>26</v>
      </c>
      <c r="I170" t="s">
        <v>22</v>
      </c>
      <c r="Q170" t="s">
        <v>26</v>
      </c>
      <c r="U170" t="s">
        <v>3124</v>
      </c>
      <c r="Y170" t="s">
        <v>4115</v>
      </c>
      <c r="AC170" t="s">
        <v>38</v>
      </c>
      <c r="AG170" t="s">
        <v>5120</v>
      </c>
    </row>
    <row r="171" spans="1:33" x14ac:dyDescent="0.25">
      <c r="I171" t="s">
        <v>2905</v>
      </c>
      <c r="U171" t="s">
        <v>3125</v>
      </c>
      <c r="Y171" t="s">
        <v>4116</v>
      </c>
      <c r="AG171" t="s">
        <v>5121</v>
      </c>
    </row>
    <row r="172" spans="1:33" x14ac:dyDescent="0.25">
      <c r="A172" t="s">
        <v>2738</v>
      </c>
      <c r="E172" t="s">
        <v>2738</v>
      </c>
      <c r="I172" t="s">
        <v>24</v>
      </c>
      <c r="Q172" t="s">
        <v>12</v>
      </c>
      <c r="U172" t="s">
        <v>3126</v>
      </c>
      <c r="Y172" t="s">
        <v>4117</v>
      </c>
      <c r="AC172" t="s">
        <v>2737</v>
      </c>
      <c r="AG172" t="s">
        <v>5122</v>
      </c>
    </row>
    <row r="173" spans="1:33" x14ac:dyDescent="0.25">
      <c r="A173" t="s">
        <v>9</v>
      </c>
      <c r="E173" t="s">
        <v>9</v>
      </c>
      <c r="I173" t="s">
        <v>2874</v>
      </c>
      <c r="Q173" t="s">
        <v>13</v>
      </c>
      <c r="U173" t="s">
        <v>3127</v>
      </c>
      <c r="Y173" t="s">
        <v>4118</v>
      </c>
      <c r="AC173" t="s">
        <v>15</v>
      </c>
      <c r="AG173" t="s">
        <v>5123</v>
      </c>
    </row>
    <row r="174" spans="1:33" x14ac:dyDescent="0.25">
      <c r="A174" t="s">
        <v>2777</v>
      </c>
      <c r="E174" t="s">
        <v>2838</v>
      </c>
      <c r="I174" t="s">
        <v>26</v>
      </c>
      <c r="Q174" t="s">
        <v>10</v>
      </c>
      <c r="U174" t="s">
        <v>3128</v>
      </c>
      <c r="Y174" t="s">
        <v>4119</v>
      </c>
      <c r="AC174" t="s">
        <v>4995</v>
      </c>
      <c r="AG174" t="s">
        <v>5124</v>
      </c>
    </row>
    <row r="175" spans="1:33" x14ac:dyDescent="0.25">
      <c r="A175" t="s">
        <v>28</v>
      </c>
      <c r="E175" t="s">
        <v>28</v>
      </c>
      <c r="I175" t="s">
        <v>2738</v>
      </c>
      <c r="Q175" t="s">
        <v>11</v>
      </c>
      <c r="U175" t="s">
        <v>3129</v>
      </c>
      <c r="Y175" t="s">
        <v>4120</v>
      </c>
      <c r="AC175" t="s">
        <v>16</v>
      </c>
      <c r="AG175" t="s">
        <v>5125</v>
      </c>
    </row>
    <row r="176" spans="1:33" x14ac:dyDescent="0.25">
      <c r="A176" t="s">
        <v>2778</v>
      </c>
      <c r="E176" t="s">
        <v>2839</v>
      </c>
      <c r="I176" t="s">
        <v>9</v>
      </c>
      <c r="Q176" t="s">
        <v>2738</v>
      </c>
      <c r="U176" t="s">
        <v>3130</v>
      </c>
      <c r="Y176" t="s">
        <v>4121</v>
      </c>
      <c r="AC176" t="s">
        <v>4996</v>
      </c>
      <c r="AG176" t="s">
        <v>5126</v>
      </c>
    </row>
    <row r="177" spans="1:33" x14ac:dyDescent="0.25">
      <c r="A177" t="s">
        <v>30</v>
      </c>
      <c r="E177" t="s">
        <v>30</v>
      </c>
      <c r="I177" t="s">
        <v>10</v>
      </c>
      <c r="Q177" t="s">
        <v>9</v>
      </c>
      <c r="U177" t="s">
        <v>3131</v>
      </c>
      <c r="Y177" t="s">
        <v>4122</v>
      </c>
      <c r="AC177" t="s">
        <v>18</v>
      </c>
      <c r="AG177" t="s">
        <v>5127</v>
      </c>
    </row>
    <row r="178" spans="1:33" x14ac:dyDescent="0.25">
      <c r="A178" t="s">
        <v>31</v>
      </c>
      <c r="E178" t="s">
        <v>31</v>
      </c>
      <c r="I178" t="s">
        <v>11</v>
      </c>
      <c r="Q178" t="s">
        <v>2968</v>
      </c>
      <c r="U178" t="s">
        <v>3132</v>
      </c>
      <c r="Y178" t="s">
        <v>4123</v>
      </c>
      <c r="AC178" t="s">
        <v>19</v>
      </c>
      <c r="AG178" t="s">
        <v>5128</v>
      </c>
    </row>
    <row r="179" spans="1:33" x14ac:dyDescent="0.25">
      <c r="A179" t="s">
        <v>32</v>
      </c>
      <c r="E179" t="s">
        <v>32</v>
      </c>
      <c r="I179" t="s">
        <v>933</v>
      </c>
      <c r="Q179" t="s">
        <v>28</v>
      </c>
      <c r="U179" t="s">
        <v>3133</v>
      </c>
      <c r="Y179" t="s">
        <v>4124</v>
      </c>
      <c r="AC179" t="s">
        <v>20</v>
      </c>
      <c r="AG179" t="s">
        <v>5129</v>
      </c>
    </row>
    <row r="180" spans="1:33" x14ac:dyDescent="0.25">
      <c r="A180" t="s">
        <v>2779</v>
      </c>
      <c r="E180" t="s">
        <v>2840</v>
      </c>
      <c r="I180" t="s">
        <v>934</v>
      </c>
      <c r="Q180" t="s">
        <v>2969</v>
      </c>
      <c r="U180" t="s">
        <v>3134</v>
      </c>
      <c r="Y180" t="s">
        <v>4125</v>
      </c>
      <c r="AC180" t="s">
        <v>4997</v>
      </c>
      <c r="AG180" t="s">
        <v>5130</v>
      </c>
    </row>
    <row r="181" spans="1:33" x14ac:dyDescent="0.25">
      <c r="A181" t="s">
        <v>34</v>
      </c>
      <c r="E181" t="s">
        <v>34</v>
      </c>
      <c r="I181" t="s">
        <v>935</v>
      </c>
      <c r="Q181" t="s">
        <v>30</v>
      </c>
      <c r="U181" t="s">
        <v>3135</v>
      </c>
      <c r="Y181" t="s">
        <v>4126</v>
      </c>
      <c r="AC181" t="s">
        <v>22</v>
      </c>
      <c r="AG181" t="s">
        <v>5131</v>
      </c>
    </row>
    <row r="182" spans="1:33" x14ac:dyDescent="0.25">
      <c r="A182" t="s">
        <v>2780</v>
      </c>
      <c r="E182" t="s">
        <v>2841</v>
      </c>
      <c r="I182" t="s">
        <v>936</v>
      </c>
      <c r="Q182" t="s">
        <v>31</v>
      </c>
      <c r="U182" t="s">
        <v>3136</v>
      </c>
      <c r="Y182" t="s">
        <v>4127</v>
      </c>
      <c r="AC182" t="s">
        <v>4998</v>
      </c>
      <c r="AG182" t="s">
        <v>5132</v>
      </c>
    </row>
    <row r="183" spans="1:33" x14ac:dyDescent="0.25">
      <c r="A183" t="s">
        <v>36</v>
      </c>
      <c r="E183" t="s">
        <v>36</v>
      </c>
      <c r="I183" t="s">
        <v>181</v>
      </c>
      <c r="Q183" t="s">
        <v>32</v>
      </c>
      <c r="U183" t="s">
        <v>3137</v>
      </c>
      <c r="Y183" t="s">
        <v>4128</v>
      </c>
      <c r="AC183" t="s">
        <v>24</v>
      </c>
      <c r="AG183" t="s">
        <v>5133</v>
      </c>
    </row>
    <row r="184" spans="1:33" x14ac:dyDescent="0.25">
      <c r="A184" t="s">
        <v>37</v>
      </c>
      <c r="E184" t="s">
        <v>37</v>
      </c>
      <c r="I184" t="s">
        <v>182</v>
      </c>
      <c r="Q184" t="s">
        <v>2970</v>
      </c>
      <c r="U184" t="s">
        <v>3138</v>
      </c>
      <c r="Y184" t="s">
        <v>4129</v>
      </c>
      <c r="AC184" t="s">
        <v>25</v>
      </c>
      <c r="AG184" t="s">
        <v>5134</v>
      </c>
    </row>
    <row r="185" spans="1:33" x14ac:dyDescent="0.25">
      <c r="A185" t="s">
        <v>38</v>
      </c>
      <c r="E185" t="s">
        <v>38</v>
      </c>
      <c r="I185" t="s">
        <v>2737</v>
      </c>
      <c r="Q185" t="s">
        <v>34</v>
      </c>
      <c r="U185" t="s">
        <v>3139</v>
      </c>
      <c r="Y185" t="s">
        <v>4130</v>
      </c>
      <c r="AC185" t="s">
        <v>26</v>
      </c>
      <c r="AG185" t="s">
        <v>5135</v>
      </c>
    </row>
    <row r="186" spans="1:33" x14ac:dyDescent="0.25">
      <c r="I186" t="s">
        <v>15</v>
      </c>
      <c r="Q186" t="s">
        <v>2971</v>
      </c>
      <c r="U186" t="s">
        <v>3140</v>
      </c>
      <c r="Y186" t="s">
        <v>4131</v>
      </c>
      <c r="AG186" t="s">
        <v>5136</v>
      </c>
    </row>
    <row r="187" spans="1:33" x14ac:dyDescent="0.25">
      <c r="A187" t="s">
        <v>2737</v>
      </c>
      <c r="E187" t="s">
        <v>2737</v>
      </c>
      <c r="I187" t="s">
        <v>151</v>
      </c>
      <c r="Q187" t="s">
        <v>36</v>
      </c>
      <c r="U187" t="s">
        <v>3141</v>
      </c>
      <c r="Y187" t="s">
        <v>4132</v>
      </c>
      <c r="AC187" t="s">
        <v>12</v>
      </c>
      <c r="AG187" t="s">
        <v>5137</v>
      </c>
    </row>
    <row r="188" spans="1:33" x14ac:dyDescent="0.25">
      <c r="A188" t="s">
        <v>15</v>
      </c>
      <c r="E188" t="s">
        <v>15</v>
      </c>
      <c r="I188" t="s">
        <v>1048</v>
      </c>
      <c r="Q188" t="s">
        <v>2869</v>
      </c>
      <c r="U188" t="s">
        <v>3142</v>
      </c>
      <c r="Y188" t="s">
        <v>4133</v>
      </c>
      <c r="AC188" t="s">
        <v>13</v>
      </c>
      <c r="AG188" t="s">
        <v>5138</v>
      </c>
    </row>
    <row r="189" spans="1:33" x14ac:dyDescent="0.25">
      <c r="A189" t="s">
        <v>2781</v>
      </c>
      <c r="E189" t="s">
        <v>2842</v>
      </c>
      <c r="I189" t="s">
        <v>149</v>
      </c>
      <c r="Q189" t="s">
        <v>38</v>
      </c>
      <c r="U189" t="s">
        <v>3143</v>
      </c>
      <c r="Y189" t="s">
        <v>4134</v>
      </c>
      <c r="AC189" t="s">
        <v>10</v>
      </c>
      <c r="AG189" t="s">
        <v>5139</v>
      </c>
    </row>
    <row r="190" spans="1:33" x14ac:dyDescent="0.25">
      <c r="A190" t="s">
        <v>16</v>
      </c>
      <c r="E190" t="s">
        <v>16</v>
      </c>
      <c r="I190" t="s">
        <v>1049</v>
      </c>
      <c r="Q190" t="s">
        <v>2737</v>
      </c>
      <c r="U190" t="s">
        <v>3144</v>
      </c>
      <c r="Y190" t="s">
        <v>4135</v>
      </c>
      <c r="AC190" t="s">
        <v>11</v>
      </c>
      <c r="AG190" t="s">
        <v>5140</v>
      </c>
    </row>
    <row r="191" spans="1:33" x14ac:dyDescent="0.25">
      <c r="A191" t="s">
        <v>2782</v>
      </c>
      <c r="E191" t="s">
        <v>2843</v>
      </c>
      <c r="I191" t="s">
        <v>151</v>
      </c>
      <c r="Q191" t="s">
        <v>15</v>
      </c>
      <c r="U191" t="s">
        <v>3145</v>
      </c>
      <c r="Y191" t="s">
        <v>4136</v>
      </c>
      <c r="AC191" t="s">
        <v>2738</v>
      </c>
      <c r="AG191" t="s">
        <v>5141</v>
      </c>
    </row>
    <row r="192" spans="1:33" x14ac:dyDescent="0.25">
      <c r="A192" t="s">
        <v>18</v>
      </c>
      <c r="E192" t="s">
        <v>18</v>
      </c>
      <c r="I192" t="s">
        <v>1050</v>
      </c>
      <c r="Q192" t="s">
        <v>12</v>
      </c>
      <c r="U192" t="s">
        <v>3146</v>
      </c>
      <c r="Y192" t="s">
        <v>4137</v>
      </c>
      <c r="AC192" t="s">
        <v>9</v>
      </c>
      <c r="AG192" t="s">
        <v>5142</v>
      </c>
    </row>
    <row r="193" spans="1:33" x14ac:dyDescent="0.25">
      <c r="A193" t="s">
        <v>19</v>
      </c>
      <c r="E193" t="s">
        <v>19</v>
      </c>
      <c r="I193" t="s">
        <v>149</v>
      </c>
      <c r="Q193" t="s">
        <v>13</v>
      </c>
      <c r="U193" t="s">
        <v>3147</v>
      </c>
      <c r="Y193" t="s">
        <v>4138</v>
      </c>
      <c r="AC193" t="s">
        <v>4999</v>
      </c>
      <c r="AG193" t="s">
        <v>5143</v>
      </c>
    </row>
    <row r="194" spans="1:33" x14ac:dyDescent="0.25">
      <c r="A194" t="s">
        <v>20</v>
      </c>
      <c r="E194" t="s">
        <v>20</v>
      </c>
      <c r="I194" t="s">
        <v>1051</v>
      </c>
      <c r="Q194" t="s">
        <v>2</v>
      </c>
      <c r="U194" t="s">
        <v>3148</v>
      </c>
      <c r="Y194" t="s">
        <v>4139</v>
      </c>
      <c r="AC194" t="s">
        <v>28</v>
      </c>
      <c r="AG194" t="s">
        <v>5144</v>
      </c>
    </row>
    <row r="195" spans="1:33" x14ac:dyDescent="0.25">
      <c r="A195" t="s">
        <v>2783</v>
      </c>
      <c r="E195" t="s">
        <v>2844</v>
      </c>
      <c r="I195" t="s">
        <v>160</v>
      </c>
      <c r="Q195" t="s">
        <v>3</v>
      </c>
      <c r="U195" t="s">
        <v>3149</v>
      </c>
      <c r="Y195" t="s">
        <v>4140</v>
      </c>
      <c r="AC195" t="s">
        <v>5000</v>
      </c>
      <c r="AG195" t="s">
        <v>5145</v>
      </c>
    </row>
    <row r="196" spans="1:33" x14ac:dyDescent="0.25">
      <c r="A196" t="s">
        <v>22</v>
      </c>
      <c r="E196" t="s">
        <v>22</v>
      </c>
      <c r="I196" t="s">
        <v>1052</v>
      </c>
      <c r="Q196" t="s">
        <v>4</v>
      </c>
      <c r="U196" t="s">
        <v>3150</v>
      </c>
      <c r="Y196" t="s">
        <v>4141</v>
      </c>
      <c r="AC196" t="s">
        <v>30</v>
      </c>
      <c r="AG196" t="s">
        <v>5146</v>
      </c>
    </row>
    <row r="197" spans="1:33" x14ac:dyDescent="0.25">
      <c r="A197" t="s">
        <v>2784</v>
      </c>
      <c r="E197" t="s">
        <v>2845</v>
      </c>
      <c r="I197" t="s">
        <v>1053</v>
      </c>
      <c r="Q197" t="s">
        <v>5</v>
      </c>
      <c r="U197" t="s">
        <v>3151</v>
      </c>
      <c r="Y197" t="s">
        <v>4142</v>
      </c>
      <c r="AC197" t="s">
        <v>31</v>
      </c>
      <c r="AG197" t="s">
        <v>5147</v>
      </c>
    </row>
    <row r="198" spans="1:33" x14ac:dyDescent="0.25">
      <c r="A198" t="s">
        <v>24</v>
      </c>
      <c r="E198" t="s">
        <v>24</v>
      </c>
      <c r="I198" t="s">
        <v>1054</v>
      </c>
      <c r="Q198" t="s">
        <v>6</v>
      </c>
      <c r="U198" t="s">
        <v>3152</v>
      </c>
      <c r="Y198" t="s">
        <v>4143</v>
      </c>
      <c r="AC198" t="s">
        <v>32</v>
      </c>
      <c r="AG198" t="s">
        <v>5148</v>
      </c>
    </row>
    <row r="199" spans="1:33" x14ac:dyDescent="0.25">
      <c r="A199" t="s">
        <v>25</v>
      </c>
      <c r="E199" t="s">
        <v>25</v>
      </c>
      <c r="I199" t="s">
        <v>160</v>
      </c>
      <c r="Q199" t="s">
        <v>7</v>
      </c>
      <c r="U199" t="s">
        <v>3153</v>
      </c>
      <c r="Y199" t="s">
        <v>4144</v>
      </c>
      <c r="AC199" t="s">
        <v>5001</v>
      </c>
      <c r="AG199" t="s">
        <v>5149</v>
      </c>
    </row>
    <row r="200" spans="1:33" x14ac:dyDescent="0.25">
      <c r="A200" t="s">
        <v>26</v>
      </c>
      <c r="E200" t="s">
        <v>26</v>
      </c>
      <c r="I200" t="s">
        <v>1055</v>
      </c>
      <c r="Q200" t="s">
        <v>2738</v>
      </c>
      <c r="U200" t="s">
        <v>3154</v>
      </c>
      <c r="Y200" t="s">
        <v>4145</v>
      </c>
      <c r="AC200" t="s">
        <v>34</v>
      </c>
      <c r="AG200" t="s">
        <v>5150</v>
      </c>
    </row>
    <row r="201" spans="1:33" x14ac:dyDescent="0.25">
      <c r="I201" t="s">
        <v>155</v>
      </c>
      <c r="Q201" t="s">
        <v>9</v>
      </c>
      <c r="U201" t="s">
        <v>3155</v>
      </c>
      <c r="Y201" t="s">
        <v>4146</v>
      </c>
      <c r="AC201" t="s">
        <v>5002</v>
      </c>
      <c r="AG201" t="s">
        <v>5151</v>
      </c>
    </row>
    <row r="202" spans="1:33" x14ac:dyDescent="0.25">
      <c r="A202" t="s">
        <v>2738</v>
      </c>
      <c r="E202" t="s">
        <v>2738</v>
      </c>
      <c r="I202" t="s">
        <v>1056</v>
      </c>
      <c r="Q202" t="s">
        <v>149</v>
      </c>
      <c r="U202" t="s">
        <v>3156</v>
      </c>
      <c r="Y202" t="s">
        <v>4147</v>
      </c>
      <c r="AC202" t="s">
        <v>36</v>
      </c>
      <c r="AG202" t="s">
        <v>5152</v>
      </c>
    </row>
    <row r="203" spans="1:33" x14ac:dyDescent="0.25">
      <c r="A203" t="s">
        <v>9</v>
      </c>
      <c r="E203" t="s">
        <v>9</v>
      </c>
      <c r="I203" t="s">
        <v>160</v>
      </c>
      <c r="Q203" t="s">
        <v>150</v>
      </c>
      <c r="U203" t="s">
        <v>3157</v>
      </c>
      <c r="Y203" t="s">
        <v>4148</v>
      </c>
      <c r="AC203" t="s">
        <v>37</v>
      </c>
      <c r="AG203" t="s">
        <v>5153</v>
      </c>
    </row>
    <row r="204" spans="1:33" x14ac:dyDescent="0.25">
      <c r="A204" t="s">
        <v>2785</v>
      </c>
      <c r="E204" t="s">
        <v>2846</v>
      </c>
      <c r="I204" t="s">
        <v>1057</v>
      </c>
      <c r="Q204" t="s">
        <v>151</v>
      </c>
      <c r="U204" t="s">
        <v>3158</v>
      </c>
      <c r="Y204" t="s">
        <v>4149</v>
      </c>
      <c r="AC204" t="s">
        <v>38</v>
      </c>
      <c r="AG204" t="s">
        <v>5154</v>
      </c>
    </row>
    <row r="205" spans="1:33" x14ac:dyDescent="0.25">
      <c r="A205" t="s">
        <v>28</v>
      </c>
      <c r="E205" t="s">
        <v>28</v>
      </c>
      <c r="I205" t="s">
        <v>155</v>
      </c>
      <c r="Q205" t="s">
        <v>152</v>
      </c>
      <c r="U205" t="s">
        <v>3159</v>
      </c>
      <c r="Y205" t="s">
        <v>4150</v>
      </c>
      <c r="AC205" t="s">
        <v>2737</v>
      </c>
      <c r="AG205" t="s">
        <v>5155</v>
      </c>
    </row>
    <row r="206" spans="1:33" x14ac:dyDescent="0.25">
      <c r="A206" t="s">
        <v>2786</v>
      </c>
      <c r="E206" t="s">
        <v>2847</v>
      </c>
      <c r="I206" t="s">
        <v>1058</v>
      </c>
      <c r="Q206" t="s">
        <v>149</v>
      </c>
      <c r="U206" t="s">
        <v>3160</v>
      </c>
      <c r="Y206" t="s">
        <v>4151</v>
      </c>
      <c r="AC206" t="s">
        <v>15</v>
      </c>
      <c r="AG206" t="s">
        <v>5156</v>
      </c>
    </row>
    <row r="207" spans="1:33" x14ac:dyDescent="0.25">
      <c r="A207" t="s">
        <v>30</v>
      </c>
      <c r="E207" t="s">
        <v>30</v>
      </c>
      <c r="I207" t="s">
        <v>160</v>
      </c>
      <c r="Q207" t="s">
        <v>153</v>
      </c>
      <c r="U207" t="s">
        <v>3161</v>
      </c>
      <c r="Y207" t="s">
        <v>4152</v>
      </c>
      <c r="AC207" t="s">
        <v>12</v>
      </c>
      <c r="AG207" t="s">
        <v>5157</v>
      </c>
    </row>
    <row r="208" spans="1:33" x14ac:dyDescent="0.25">
      <c r="A208" t="s">
        <v>31</v>
      </c>
      <c r="E208" t="s">
        <v>31</v>
      </c>
      <c r="I208" t="s">
        <v>1059</v>
      </c>
      <c r="Q208" t="s">
        <v>151</v>
      </c>
      <c r="U208" t="s">
        <v>3162</v>
      </c>
      <c r="Y208" t="s">
        <v>4153</v>
      </c>
      <c r="AC208" t="s">
        <v>13</v>
      </c>
      <c r="AG208" t="s">
        <v>5158</v>
      </c>
    </row>
    <row r="209" spans="1:33" x14ac:dyDescent="0.25">
      <c r="A209" t="s">
        <v>32</v>
      </c>
      <c r="E209" t="s">
        <v>32</v>
      </c>
      <c r="I209" t="s">
        <v>2383</v>
      </c>
      <c r="Q209" t="s">
        <v>154</v>
      </c>
      <c r="U209" t="s">
        <v>3163</v>
      </c>
      <c r="Y209" t="s">
        <v>4154</v>
      </c>
      <c r="AC209" t="s">
        <v>2</v>
      </c>
      <c r="AG209" t="s">
        <v>5159</v>
      </c>
    </row>
    <row r="210" spans="1:33" x14ac:dyDescent="0.25">
      <c r="A210" t="s">
        <v>2787</v>
      </c>
      <c r="E210" t="s">
        <v>2848</v>
      </c>
      <c r="I210" t="s">
        <v>1060</v>
      </c>
      <c r="Q210" t="s">
        <v>155</v>
      </c>
      <c r="U210" t="s">
        <v>3164</v>
      </c>
      <c r="Y210" t="s">
        <v>4155</v>
      </c>
      <c r="AC210" t="s">
        <v>3</v>
      </c>
      <c r="AG210" t="s">
        <v>5160</v>
      </c>
    </row>
    <row r="211" spans="1:33" x14ac:dyDescent="0.25">
      <c r="A211" t="s">
        <v>34</v>
      </c>
      <c r="E211" t="s">
        <v>34</v>
      </c>
      <c r="I211" t="s">
        <v>169</v>
      </c>
      <c r="Q211" t="s">
        <v>156</v>
      </c>
      <c r="U211" t="s">
        <v>3165</v>
      </c>
      <c r="Y211" t="s">
        <v>4156</v>
      </c>
      <c r="AC211" t="s">
        <v>4</v>
      </c>
      <c r="AG211" t="s">
        <v>5161</v>
      </c>
    </row>
    <row r="212" spans="1:33" x14ac:dyDescent="0.25">
      <c r="A212" t="s">
        <v>2788</v>
      </c>
      <c r="E212" t="s">
        <v>2849</v>
      </c>
      <c r="I212" t="s">
        <v>1061</v>
      </c>
      <c r="Q212" t="s">
        <v>157</v>
      </c>
      <c r="U212" t="s">
        <v>3166</v>
      </c>
      <c r="Y212" t="s">
        <v>4157</v>
      </c>
      <c r="AC212" t="s">
        <v>5</v>
      </c>
      <c r="AG212" t="s">
        <v>5162</v>
      </c>
    </row>
    <row r="213" spans="1:33" x14ac:dyDescent="0.25">
      <c r="A213" t="s">
        <v>36</v>
      </c>
      <c r="E213" t="s">
        <v>36</v>
      </c>
      <c r="I213" t="s">
        <v>931</v>
      </c>
      <c r="Q213" t="s">
        <v>158</v>
      </c>
      <c r="U213" t="s">
        <v>3167</v>
      </c>
      <c r="Y213" t="s">
        <v>4158</v>
      </c>
      <c r="AC213" t="s">
        <v>6</v>
      </c>
      <c r="AG213" t="s">
        <v>5163</v>
      </c>
    </row>
    <row r="214" spans="1:33" x14ac:dyDescent="0.25">
      <c r="A214" t="s">
        <v>37</v>
      </c>
      <c r="E214" t="s">
        <v>37</v>
      </c>
      <c r="I214" t="s">
        <v>1062</v>
      </c>
      <c r="Q214" t="s">
        <v>155</v>
      </c>
      <c r="U214" t="s">
        <v>3168</v>
      </c>
      <c r="Y214" t="s">
        <v>4159</v>
      </c>
      <c r="AC214" t="s">
        <v>7</v>
      </c>
      <c r="AG214" t="s">
        <v>5164</v>
      </c>
    </row>
    <row r="215" spans="1:33" x14ac:dyDescent="0.25">
      <c r="A215" t="s">
        <v>38</v>
      </c>
      <c r="E215" t="s">
        <v>38</v>
      </c>
      <c r="I215" t="s">
        <v>1063</v>
      </c>
      <c r="Q215" t="s">
        <v>159</v>
      </c>
      <c r="U215" t="s">
        <v>3169</v>
      </c>
      <c r="Y215" t="s">
        <v>4160</v>
      </c>
      <c r="AC215" t="s">
        <v>2738</v>
      </c>
      <c r="AG215" t="s">
        <v>5165</v>
      </c>
    </row>
    <row r="216" spans="1:33" x14ac:dyDescent="0.25">
      <c r="I216" t="s">
        <v>1064</v>
      </c>
      <c r="Q216" t="s">
        <v>160</v>
      </c>
      <c r="U216" t="s">
        <v>3170</v>
      </c>
      <c r="Y216" t="s">
        <v>4161</v>
      </c>
      <c r="AC216" t="s">
        <v>9</v>
      </c>
      <c r="AG216" t="s">
        <v>5166</v>
      </c>
    </row>
    <row r="217" spans="1:33" x14ac:dyDescent="0.25">
      <c r="A217" t="s">
        <v>2737</v>
      </c>
      <c r="E217" t="s">
        <v>2737</v>
      </c>
      <c r="I217" t="s">
        <v>1065</v>
      </c>
      <c r="Q217" t="s">
        <v>161</v>
      </c>
      <c r="U217" t="s">
        <v>3171</v>
      </c>
      <c r="Y217" t="s">
        <v>4162</v>
      </c>
      <c r="AC217" t="s">
        <v>149</v>
      </c>
      <c r="AG217" t="s">
        <v>5167</v>
      </c>
    </row>
    <row r="218" spans="1:33" x14ac:dyDescent="0.25">
      <c r="A218" t="s">
        <v>15</v>
      </c>
      <c r="E218" t="s">
        <v>15</v>
      </c>
      <c r="I218" t="s">
        <v>1066</v>
      </c>
      <c r="Q218" t="s">
        <v>155</v>
      </c>
      <c r="U218" t="s">
        <v>3172</v>
      </c>
      <c r="Y218" t="s">
        <v>4163</v>
      </c>
      <c r="AC218" t="s">
        <v>150</v>
      </c>
      <c r="AG218" t="s">
        <v>5168</v>
      </c>
    </row>
    <row r="219" spans="1:33" x14ac:dyDescent="0.25">
      <c r="A219" t="s">
        <v>2789</v>
      </c>
      <c r="E219" t="s">
        <v>2850</v>
      </c>
      <c r="I219" t="s">
        <v>169</v>
      </c>
      <c r="Q219" t="s">
        <v>162</v>
      </c>
      <c r="U219" t="s">
        <v>3173</v>
      </c>
      <c r="Y219" t="s">
        <v>4164</v>
      </c>
      <c r="AC219" t="s">
        <v>151</v>
      </c>
      <c r="AG219" t="s">
        <v>5169</v>
      </c>
    </row>
    <row r="220" spans="1:33" x14ac:dyDescent="0.25">
      <c r="A220" t="s">
        <v>16</v>
      </c>
      <c r="E220" t="s">
        <v>16</v>
      </c>
      <c r="I220" t="s">
        <v>1068</v>
      </c>
      <c r="Q220" t="s">
        <v>160</v>
      </c>
      <c r="U220" t="s">
        <v>3174</v>
      </c>
      <c r="Y220" t="s">
        <v>4165</v>
      </c>
      <c r="AC220" t="s">
        <v>152</v>
      </c>
      <c r="AG220" t="s">
        <v>5170</v>
      </c>
    </row>
    <row r="221" spans="1:33" x14ac:dyDescent="0.25">
      <c r="A221" t="s">
        <v>2790</v>
      </c>
      <c r="E221" t="s">
        <v>2851</v>
      </c>
      <c r="I221" t="s">
        <v>179</v>
      </c>
      <c r="Q221" t="s">
        <v>163</v>
      </c>
      <c r="U221" t="s">
        <v>3175</v>
      </c>
      <c r="Y221" t="s">
        <v>4166</v>
      </c>
      <c r="AC221" t="s">
        <v>149</v>
      </c>
      <c r="AG221" t="s">
        <v>5171</v>
      </c>
    </row>
    <row r="222" spans="1:33" x14ac:dyDescent="0.25">
      <c r="A222" t="s">
        <v>18</v>
      </c>
      <c r="E222" t="s">
        <v>18</v>
      </c>
      <c r="I222" t="s">
        <v>1069</v>
      </c>
      <c r="Q222" t="s">
        <v>155</v>
      </c>
      <c r="U222" t="s">
        <v>3176</v>
      </c>
      <c r="Y222" t="s">
        <v>4167</v>
      </c>
      <c r="AC222" t="s">
        <v>153</v>
      </c>
      <c r="AG222" t="s">
        <v>5172</v>
      </c>
    </row>
    <row r="223" spans="1:33" x14ac:dyDescent="0.25">
      <c r="A223" t="s">
        <v>19</v>
      </c>
      <c r="E223" t="s">
        <v>19</v>
      </c>
      <c r="I223" t="s">
        <v>177</v>
      </c>
      <c r="Q223" t="s">
        <v>164</v>
      </c>
      <c r="U223" t="s">
        <v>3177</v>
      </c>
      <c r="Y223" t="s">
        <v>4168</v>
      </c>
      <c r="AC223" t="s">
        <v>151</v>
      </c>
      <c r="AG223" t="s">
        <v>5173</v>
      </c>
    </row>
    <row r="224" spans="1:33" x14ac:dyDescent="0.25">
      <c r="A224" t="s">
        <v>20</v>
      </c>
      <c r="E224" t="s">
        <v>20</v>
      </c>
      <c r="I224" t="s">
        <v>1070</v>
      </c>
      <c r="Q224" t="s">
        <v>165</v>
      </c>
      <c r="U224" t="s">
        <v>3178</v>
      </c>
      <c r="Y224" t="s">
        <v>4169</v>
      </c>
      <c r="AC224" t="s">
        <v>154</v>
      </c>
      <c r="AG224" t="s">
        <v>5174</v>
      </c>
    </row>
    <row r="225" spans="1:33" x14ac:dyDescent="0.25">
      <c r="A225" t="s">
        <v>2791</v>
      </c>
      <c r="E225" t="s">
        <v>2852</v>
      </c>
      <c r="I225" t="s">
        <v>6</v>
      </c>
      <c r="Q225" t="s">
        <v>166</v>
      </c>
      <c r="U225" t="s">
        <v>3179</v>
      </c>
      <c r="Y225" t="s">
        <v>4170</v>
      </c>
      <c r="AC225" t="s">
        <v>155</v>
      </c>
      <c r="AG225" t="s">
        <v>5175</v>
      </c>
    </row>
    <row r="226" spans="1:33" x14ac:dyDescent="0.25">
      <c r="A226" t="s">
        <v>22</v>
      </c>
      <c r="E226" t="s">
        <v>22</v>
      </c>
      <c r="I226" t="s">
        <v>7</v>
      </c>
      <c r="Q226" t="s">
        <v>931</v>
      </c>
      <c r="U226" t="s">
        <v>3180</v>
      </c>
      <c r="Y226" t="s">
        <v>4171</v>
      </c>
      <c r="AC226" t="s">
        <v>156</v>
      </c>
      <c r="AG226" t="s">
        <v>5176</v>
      </c>
    </row>
    <row r="227" spans="1:33" x14ac:dyDescent="0.25">
      <c r="A227" t="s">
        <v>2792</v>
      </c>
      <c r="E227" t="s">
        <v>2853</v>
      </c>
      <c r="I227" t="s">
        <v>2862</v>
      </c>
      <c r="Q227" t="s">
        <v>168</v>
      </c>
      <c r="U227" t="s">
        <v>3181</v>
      </c>
      <c r="Y227" t="s">
        <v>4172</v>
      </c>
      <c r="AC227" t="s">
        <v>157</v>
      </c>
      <c r="AG227" t="s">
        <v>5177</v>
      </c>
    </row>
    <row r="228" spans="1:33" x14ac:dyDescent="0.25">
      <c r="A228" t="s">
        <v>24</v>
      </c>
      <c r="E228" t="s">
        <v>24</v>
      </c>
      <c r="I228" t="s">
        <v>1072</v>
      </c>
      <c r="Q228" t="s">
        <v>169</v>
      </c>
      <c r="U228" t="s">
        <v>3182</v>
      </c>
      <c r="Y228" t="s">
        <v>4173</v>
      </c>
      <c r="AC228" t="s">
        <v>158</v>
      </c>
      <c r="AG228" t="s">
        <v>5178</v>
      </c>
    </row>
    <row r="229" spans="1:33" x14ac:dyDescent="0.25">
      <c r="A229" t="s">
        <v>25</v>
      </c>
      <c r="E229" t="s">
        <v>25</v>
      </c>
      <c r="I229" t="s">
        <v>2863</v>
      </c>
      <c r="Q229" t="s">
        <v>170</v>
      </c>
      <c r="U229" t="s">
        <v>3183</v>
      </c>
      <c r="Y229" t="s">
        <v>4174</v>
      </c>
      <c r="AC229" t="s">
        <v>155</v>
      </c>
      <c r="AG229" t="s">
        <v>5179</v>
      </c>
    </row>
    <row r="230" spans="1:33" x14ac:dyDescent="0.25">
      <c r="A230" t="s">
        <v>26</v>
      </c>
      <c r="E230" t="s">
        <v>26</v>
      </c>
      <c r="I230" t="s">
        <v>1074</v>
      </c>
      <c r="Q230" t="s">
        <v>171</v>
      </c>
      <c r="U230" t="s">
        <v>3184</v>
      </c>
      <c r="Y230" t="s">
        <v>4175</v>
      </c>
      <c r="AC230" t="s">
        <v>159</v>
      </c>
      <c r="AG230" t="s">
        <v>5180</v>
      </c>
    </row>
    <row r="231" spans="1:33" x14ac:dyDescent="0.25">
      <c r="I231" t="s">
        <v>12</v>
      </c>
      <c r="Q231" t="s">
        <v>172</v>
      </c>
      <c r="U231" t="s">
        <v>3185</v>
      </c>
      <c r="Y231" t="s">
        <v>4176</v>
      </c>
      <c r="AC231" t="s">
        <v>160</v>
      </c>
      <c r="AG231" t="s">
        <v>5181</v>
      </c>
    </row>
    <row r="232" spans="1:33" x14ac:dyDescent="0.25">
      <c r="A232" t="s">
        <v>12</v>
      </c>
      <c r="E232" t="s">
        <v>2738</v>
      </c>
      <c r="I232" t="s">
        <v>13</v>
      </c>
      <c r="Q232" t="s">
        <v>173</v>
      </c>
      <c r="U232" t="s">
        <v>3186</v>
      </c>
      <c r="Y232" t="s">
        <v>4177</v>
      </c>
      <c r="AC232" t="s">
        <v>161</v>
      </c>
      <c r="AG232" t="s">
        <v>5182</v>
      </c>
    </row>
    <row r="233" spans="1:33" x14ac:dyDescent="0.25">
      <c r="A233" t="s">
        <v>13</v>
      </c>
      <c r="E233" t="s">
        <v>9</v>
      </c>
      <c r="I233" t="s">
        <v>10</v>
      </c>
      <c r="Q233" t="s">
        <v>174</v>
      </c>
      <c r="U233" t="s">
        <v>3187</v>
      </c>
      <c r="Y233" t="s">
        <v>4178</v>
      </c>
      <c r="AC233" t="s">
        <v>155</v>
      </c>
      <c r="AG233" t="s">
        <v>5183</v>
      </c>
    </row>
    <row r="234" spans="1:33" x14ac:dyDescent="0.25">
      <c r="A234" t="s">
        <v>10</v>
      </c>
      <c r="E234" t="s">
        <v>2854</v>
      </c>
      <c r="I234" t="s">
        <v>11</v>
      </c>
      <c r="Q234" t="s">
        <v>931</v>
      </c>
      <c r="U234" t="s">
        <v>3188</v>
      </c>
      <c r="Y234" t="s">
        <v>4179</v>
      </c>
      <c r="AC234" t="s">
        <v>162</v>
      </c>
      <c r="AG234" t="s">
        <v>5184</v>
      </c>
    </row>
    <row r="235" spans="1:33" x14ac:dyDescent="0.25">
      <c r="A235" t="s">
        <v>11</v>
      </c>
      <c r="E235" t="s">
        <v>28</v>
      </c>
      <c r="I235" t="s">
        <v>12</v>
      </c>
      <c r="Q235" t="s">
        <v>176</v>
      </c>
      <c r="U235" t="s">
        <v>3189</v>
      </c>
      <c r="Y235" t="s">
        <v>4180</v>
      </c>
      <c r="AC235" t="s">
        <v>160</v>
      </c>
      <c r="AG235" t="s">
        <v>5185</v>
      </c>
    </row>
    <row r="236" spans="1:33" x14ac:dyDescent="0.25">
      <c r="A236" t="s">
        <v>2738</v>
      </c>
      <c r="E236" t="s">
        <v>2855</v>
      </c>
      <c r="I236" t="s">
        <v>13</v>
      </c>
      <c r="Q236" t="s">
        <v>177</v>
      </c>
      <c r="U236" t="s">
        <v>3190</v>
      </c>
      <c r="Y236" t="s">
        <v>4181</v>
      </c>
      <c r="AC236" t="s">
        <v>163</v>
      </c>
      <c r="AG236" t="s">
        <v>5186</v>
      </c>
    </row>
    <row r="237" spans="1:33" x14ac:dyDescent="0.25">
      <c r="A237" t="s">
        <v>9</v>
      </c>
      <c r="E237" t="s">
        <v>30</v>
      </c>
      <c r="I237" t="s">
        <v>10</v>
      </c>
      <c r="Q237" t="s">
        <v>178</v>
      </c>
      <c r="U237" t="s">
        <v>3191</v>
      </c>
      <c r="Y237" t="s">
        <v>4182</v>
      </c>
      <c r="AC237" t="s">
        <v>155</v>
      </c>
      <c r="AG237" t="s">
        <v>5187</v>
      </c>
    </row>
    <row r="238" spans="1:33" x14ac:dyDescent="0.25">
      <c r="A238" t="s">
        <v>2793</v>
      </c>
      <c r="E238" t="s">
        <v>31</v>
      </c>
      <c r="I238" t="s">
        <v>11</v>
      </c>
      <c r="Q238" t="s">
        <v>179</v>
      </c>
      <c r="U238" t="s">
        <v>3192</v>
      </c>
      <c r="Y238" t="s">
        <v>4183</v>
      </c>
      <c r="AC238" t="s">
        <v>164</v>
      </c>
      <c r="AG238" t="s">
        <v>5188</v>
      </c>
    </row>
    <row r="239" spans="1:33" x14ac:dyDescent="0.25">
      <c r="A239" t="s">
        <v>28</v>
      </c>
      <c r="E239" t="s">
        <v>32</v>
      </c>
      <c r="I239" t="s">
        <v>2869</v>
      </c>
      <c r="Q239" t="s">
        <v>180</v>
      </c>
      <c r="U239" t="s">
        <v>3193</v>
      </c>
      <c r="Y239" t="s">
        <v>4184</v>
      </c>
      <c r="AC239" t="s">
        <v>165</v>
      </c>
      <c r="AG239" t="s">
        <v>5189</v>
      </c>
    </row>
    <row r="240" spans="1:33" x14ac:dyDescent="0.25">
      <c r="A240" t="s">
        <v>2794</v>
      </c>
      <c r="E240" t="s">
        <v>2856</v>
      </c>
      <c r="I240" t="s">
        <v>38</v>
      </c>
      <c r="Q240" t="s">
        <v>181</v>
      </c>
      <c r="U240" t="s">
        <v>3194</v>
      </c>
      <c r="Y240" t="s">
        <v>4185</v>
      </c>
      <c r="AC240" t="s">
        <v>166</v>
      </c>
      <c r="AG240" t="s">
        <v>5190</v>
      </c>
    </row>
    <row r="241" spans="1:33" x14ac:dyDescent="0.25">
      <c r="A241" t="s">
        <v>30</v>
      </c>
      <c r="E241" t="s">
        <v>34</v>
      </c>
      <c r="I241" t="s">
        <v>10</v>
      </c>
      <c r="Q241" t="s">
        <v>182</v>
      </c>
      <c r="U241" t="s">
        <v>3195</v>
      </c>
      <c r="Y241" t="s">
        <v>4186</v>
      </c>
      <c r="AC241" t="s">
        <v>931</v>
      </c>
      <c r="AG241" t="s">
        <v>5191</v>
      </c>
    </row>
    <row r="242" spans="1:33" x14ac:dyDescent="0.25">
      <c r="A242" t="s">
        <v>31</v>
      </c>
      <c r="E242" t="s">
        <v>2857</v>
      </c>
      <c r="I242" t="s">
        <v>11</v>
      </c>
      <c r="Q242" t="s">
        <v>932</v>
      </c>
      <c r="U242" t="s">
        <v>3196</v>
      </c>
      <c r="Y242" t="s">
        <v>4187</v>
      </c>
      <c r="AC242" t="s">
        <v>168</v>
      </c>
      <c r="AG242" t="s">
        <v>5192</v>
      </c>
    </row>
    <row r="243" spans="1:33" x14ac:dyDescent="0.25">
      <c r="A243" t="s">
        <v>32</v>
      </c>
      <c r="E243" t="s">
        <v>36</v>
      </c>
      <c r="Q243" t="s">
        <v>184</v>
      </c>
      <c r="U243" t="s">
        <v>3197</v>
      </c>
      <c r="Y243" t="s">
        <v>4188</v>
      </c>
      <c r="AC243" t="s">
        <v>169</v>
      </c>
      <c r="AG243" t="s">
        <v>5193</v>
      </c>
    </row>
    <row r="244" spans="1:33" x14ac:dyDescent="0.25">
      <c r="A244" t="s">
        <v>2795</v>
      </c>
      <c r="E244" t="s">
        <v>37</v>
      </c>
      <c r="Q244" t="s">
        <v>2798</v>
      </c>
      <c r="U244" t="s">
        <v>3198</v>
      </c>
      <c r="Y244" t="s">
        <v>4189</v>
      </c>
      <c r="AC244" t="s">
        <v>170</v>
      </c>
      <c r="AG244" t="s">
        <v>5194</v>
      </c>
    </row>
    <row r="245" spans="1:33" x14ac:dyDescent="0.25">
      <c r="A245" t="s">
        <v>34</v>
      </c>
      <c r="E245" t="s">
        <v>38</v>
      </c>
      <c r="Q245" t="s">
        <v>186</v>
      </c>
      <c r="U245" t="s">
        <v>3199</v>
      </c>
      <c r="Y245" t="s">
        <v>4190</v>
      </c>
      <c r="AC245" t="s">
        <v>171</v>
      </c>
      <c r="AG245" t="s">
        <v>5195</v>
      </c>
    </row>
    <row r="246" spans="1:33" x14ac:dyDescent="0.25">
      <c r="A246" t="s">
        <v>2796</v>
      </c>
      <c r="Q246" t="s">
        <v>10</v>
      </c>
      <c r="U246" t="s">
        <v>3200</v>
      </c>
      <c r="Y246" t="s">
        <v>4191</v>
      </c>
      <c r="AC246" t="s">
        <v>172</v>
      </c>
      <c r="AG246" t="s">
        <v>5196</v>
      </c>
    </row>
    <row r="247" spans="1:33" x14ac:dyDescent="0.25">
      <c r="A247" t="s">
        <v>36</v>
      </c>
      <c r="E247" t="s">
        <v>10</v>
      </c>
      <c r="Q247" t="s">
        <v>11</v>
      </c>
      <c r="U247" t="s">
        <v>3201</v>
      </c>
      <c r="Y247" t="s">
        <v>4192</v>
      </c>
      <c r="AC247" t="s">
        <v>173</v>
      </c>
      <c r="AG247" t="s">
        <v>5197</v>
      </c>
    </row>
    <row r="248" spans="1:33" x14ac:dyDescent="0.25">
      <c r="A248" t="s">
        <v>37</v>
      </c>
      <c r="E248" t="s">
        <v>11</v>
      </c>
      <c r="Q248" t="s">
        <v>12</v>
      </c>
      <c r="U248" t="s">
        <v>3202</v>
      </c>
      <c r="Y248" t="s">
        <v>4193</v>
      </c>
      <c r="AC248" t="s">
        <v>174</v>
      </c>
      <c r="AG248" t="s">
        <v>5198</v>
      </c>
    </row>
    <row r="249" spans="1:33" x14ac:dyDescent="0.25">
      <c r="A249" t="s">
        <v>38</v>
      </c>
      <c r="E249" t="s">
        <v>12</v>
      </c>
      <c r="Q249" t="s">
        <v>13</v>
      </c>
      <c r="U249" t="s">
        <v>3203</v>
      </c>
      <c r="Y249" t="s">
        <v>4194</v>
      </c>
      <c r="AC249" t="s">
        <v>931</v>
      </c>
      <c r="AG249" t="s">
        <v>5199</v>
      </c>
    </row>
    <row r="250" spans="1:33" x14ac:dyDescent="0.25">
      <c r="A250" t="s">
        <v>2737</v>
      </c>
      <c r="E250" t="s">
        <v>13</v>
      </c>
      <c r="Q250" t="s">
        <v>10</v>
      </c>
      <c r="U250" t="s">
        <v>3204</v>
      </c>
      <c r="Y250" t="s">
        <v>4195</v>
      </c>
      <c r="AC250" t="s">
        <v>176</v>
      </c>
      <c r="AG250" t="s">
        <v>5200</v>
      </c>
    </row>
    <row r="251" spans="1:33" x14ac:dyDescent="0.25">
      <c r="A251" t="s">
        <v>15</v>
      </c>
      <c r="E251" t="s">
        <v>2737</v>
      </c>
      <c r="Q251" t="s">
        <v>11</v>
      </c>
      <c r="U251" t="s">
        <v>3205</v>
      </c>
      <c r="Y251" t="s">
        <v>4196</v>
      </c>
      <c r="AC251" t="s">
        <v>177</v>
      </c>
      <c r="AG251" t="s">
        <v>5201</v>
      </c>
    </row>
    <row r="252" spans="1:33" x14ac:dyDescent="0.25">
      <c r="A252" t="s">
        <v>12</v>
      </c>
      <c r="E252" t="s">
        <v>15</v>
      </c>
      <c r="Q252" t="s">
        <v>12</v>
      </c>
      <c r="U252" t="s">
        <v>3206</v>
      </c>
      <c r="Y252" t="s">
        <v>4197</v>
      </c>
      <c r="AC252" t="s">
        <v>178</v>
      </c>
      <c r="AG252" t="s">
        <v>5025</v>
      </c>
    </row>
    <row r="253" spans="1:33" x14ac:dyDescent="0.25">
      <c r="A253" t="s">
        <v>13</v>
      </c>
      <c r="E253" t="s">
        <v>2858</v>
      </c>
      <c r="Q253" t="s">
        <v>13</v>
      </c>
      <c r="U253" t="s">
        <v>3207</v>
      </c>
      <c r="Y253" t="s">
        <v>4198</v>
      </c>
      <c r="AC253" t="s">
        <v>179</v>
      </c>
      <c r="AG253" t="s">
        <v>5202</v>
      </c>
    </row>
    <row r="254" spans="1:33" x14ac:dyDescent="0.25">
      <c r="A254" t="s">
        <v>2</v>
      </c>
      <c r="E254" t="s">
        <v>16</v>
      </c>
      <c r="Q254" t="s">
        <v>2874</v>
      </c>
      <c r="U254" t="s">
        <v>3208</v>
      </c>
      <c r="Y254" t="s">
        <v>4199</v>
      </c>
      <c r="AC254" t="s">
        <v>180</v>
      </c>
      <c r="AG254" t="s">
        <v>5203</v>
      </c>
    </row>
    <row r="255" spans="1:33" x14ac:dyDescent="0.25">
      <c r="A255" t="s">
        <v>3</v>
      </c>
      <c r="E255" t="s">
        <v>2859</v>
      </c>
      <c r="Q255" t="s">
        <v>26</v>
      </c>
      <c r="U255" t="s">
        <v>3209</v>
      </c>
      <c r="Y255" t="s">
        <v>4200</v>
      </c>
      <c r="AC255" t="s">
        <v>181</v>
      </c>
      <c r="AG255" t="s">
        <v>5204</v>
      </c>
    </row>
    <row r="256" spans="1:33" x14ac:dyDescent="0.25">
      <c r="A256" t="s">
        <v>4</v>
      </c>
      <c r="E256" t="s">
        <v>18</v>
      </c>
      <c r="Q256" t="s">
        <v>12</v>
      </c>
      <c r="U256" t="s">
        <v>3210</v>
      </c>
      <c r="Y256" t="s">
        <v>4201</v>
      </c>
      <c r="AC256" t="s">
        <v>182</v>
      </c>
      <c r="AG256" t="s">
        <v>5205</v>
      </c>
    </row>
    <row r="257" spans="1:33" x14ac:dyDescent="0.25">
      <c r="A257" t="s">
        <v>5</v>
      </c>
      <c r="E257" t="s">
        <v>19</v>
      </c>
      <c r="Q257" t="s">
        <v>13</v>
      </c>
      <c r="U257" t="s">
        <v>3211</v>
      </c>
      <c r="Y257" t="s">
        <v>4202</v>
      </c>
      <c r="AC257" t="s">
        <v>932</v>
      </c>
      <c r="AG257" t="s">
        <v>5206</v>
      </c>
    </row>
    <row r="258" spans="1:33" x14ac:dyDescent="0.25">
      <c r="A258" t="s">
        <v>6</v>
      </c>
      <c r="E258" t="s">
        <v>20</v>
      </c>
      <c r="U258" t="s">
        <v>3212</v>
      </c>
      <c r="Y258" t="s">
        <v>4203</v>
      </c>
      <c r="AC258" t="s">
        <v>184</v>
      </c>
      <c r="AG258" t="s">
        <v>5207</v>
      </c>
    </row>
    <row r="259" spans="1:33" x14ac:dyDescent="0.25">
      <c r="A259" t="s">
        <v>7</v>
      </c>
      <c r="E259" t="s">
        <v>2860</v>
      </c>
      <c r="U259" t="s">
        <v>3213</v>
      </c>
      <c r="Y259" t="s">
        <v>4204</v>
      </c>
      <c r="AC259" t="s">
        <v>5003</v>
      </c>
      <c r="AG259" t="s">
        <v>5208</v>
      </c>
    </row>
    <row r="260" spans="1:33" x14ac:dyDescent="0.25">
      <c r="A260" t="s">
        <v>2738</v>
      </c>
      <c r="E260" t="s">
        <v>22</v>
      </c>
      <c r="U260" t="s">
        <v>3214</v>
      </c>
      <c r="Y260" t="s">
        <v>4205</v>
      </c>
      <c r="AC260" t="s">
        <v>186</v>
      </c>
      <c r="AG260" t="s">
        <v>5209</v>
      </c>
    </row>
    <row r="261" spans="1:33" x14ac:dyDescent="0.25">
      <c r="A261" t="s">
        <v>9</v>
      </c>
      <c r="E261" t="s">
        <v>2861</v>
      </c>
      <c r="U261" t="s">
        <v>3215</v>
      </c>
      <c r="Y261" t="s">
        <v>4206</v>
      </c>
      <c r="AC261" t="s">
        <v>10</v>
      </c>
      <c r="AG261" t="s">
        <v>5210</v>
      </c>
    </row>
    <row r="262" spans="1:33" x14ac:dyDescent="0.25">
      <c r="A262" t="s">
        <v>149</v>
      </c>
      <c r="E262" t="s">
        <v>24</v>
      </c>
      <c r="U262" t="s">
        <v>3216</v>
      </c>
      <c r="Y262" t="s">
        <v>4207</v>
      </c>
      <c r="AC262" t="s">
        <v>11</v>
      </c>
      <c r="AG262" t="s">
        <v>5211</v>
      </c>
    </row>
    <row r="263" spans="1:33" x14ac:dyDescent="0.25">
      <c r="A263" t="s">
        <v>150</v>
      </c>
      <c r="E263" t="s">
        <v>25</v>
      </c>
      <c r="U263" t="s">
        <v>3217</v>
      </c>
      <c r="Y263" t="s">
        <v>4208</v>
      </c>
      <c r="AC263" t="s">
        <v>12</v>
      </c>
      <c r="AG263" t="s">
        <v>5212</v>
      </c>
    </row>
    <row r="264" spans="1:33" x14ac:dyDescent="0.25">
      <c r="A264" t="s">
        <v>151</v>
      </c>
      <c r="E264" t="s">
        <v>26</v>
      </c>
      <c r="U264" t="s">
        <v>3218</v>
      </c>
      <c r="Y264" t="s">
        <v>4209</v>
      </c>
      <c r="AC264" t="s">
        <v>13</v>
      </c>
      <c r="AG264" t="s">
        <v>5213</v>
      </c>
    </row>
    <row r="265" spans="1:33" x14ac:dyDescent="0.25">
      <c r="A265" t="s">
        <v>152</v>
      </c>
      <c r="E265" t="s">
        <v>2738</v>
      </c>
      <c r="U265" t="s">
        <v>3219</v>
      </c>
      <c r="Y265" t="s">
        <v>4210</v>
      </c>
      <c r="AC265" t="s">
        <v>10</v>
      </c>
      <c r="AG265" t="s">
        <v>5214</v>
      </c>
    </row>
    <row r="266" spans="1:33" x14ac:dyDescent="0.25">
      <c r="A266" t="s">
        <v>149</v>
      </c>
      <c r="E266" t="s">
        <v>9</v>
      </c>
      <c r="U266" t="s">
        <v>3220</v>
      </c>
      <c r="Y266" t="s">
        <v>4211</v>
      </c>
      <c r="AC266" t="s">
        <v>11</v>
      </c>
      <c r="AG266" t="s">
        <v>5215</v>
      </c>
    </row>
    <row r="267" spans="1:33" x14ac:dyDescent="0.25">
      <c r="A267" t="s">
        <v>153</v>
      </c>
      <c r="E267" t="s">
        <v>10</v>
      </c>
      <c r="U267" t="s">
        <v>3221</v>
      </c>
      <c r="Y267" t="s">
        <v>4212</v>
      </c>
      <c r="AC267" t="s">
        <v>12</v>
      </c>
      <c r="AG267" t="s">
        <v>5216</v>
      </c>
    </row>
    <row r="268" spans="1:33" x14ac:dyDescent="0.25">
      <c r="A268" t="s">
        <v>151</v>
      </c>
      <c r="E268" t="s">
        <v>11</v>
      </c>
      <c r="U268" t="s">
        <v>3222</v>
      </c>
      <c r="Y268" t="s">
        <v>4213</v>
      </c>
      <c r="AC268" t="s">
        <v>13</v>
      </c>
      <c r="AG268" t="s">
        <v>5217</v>
      </c>
    </row>
    <row r="269" spans="1:33" x14ac:dyDescent="0.25">
      <c r="A269" t="s">
        <v>154</v>
      </c>
      <c r="E269" t="s">
        <v>933</v>
      </c>
      <c r="U269" t="s">
        <v>3223</v>
      </c>
      <c r="Y269" t="s">
        <v>4214</v>
      </c>
      <c r="AC269" t="s">
        <v>25</v>
      </c>
      <c r="AG269" t="s">
        <v>5218</v>
      </c>
    </row>
    <row r="270" spans="1:33" x14ac:dyDescent="0.25">
      <c r="A270" t="s">
        <v>155</v>
      </c>
      <c r="E270" t="s">
        <v>934</v>
      </c>
      <c r="U270" t="s">
        <v>3224</v>
      </c>
      <c r="Y270" t="s">
        <v>4215</v>
      </c>
      <c r="AC270" t="s">
        <v>26</v>
      </c>
      <c r="AG270" t="s">
        <v>5219</v>
      </c>
    </row>
    <row r="271" spans="1:33" x14ac:dyDescent="0.25">
      <c r="A271" t="s">
        <v>156</v>
      </c>
      <c r="E271" t="s">
        <v>935</v>
      </c>
      <c r="U271" t="s">
        <v>3225</v>
      </c>
      <c r="Y271" t="s">
        <v>4216</v>
      </c>
      <c r="AC271" t="s">
        <v>12</v>
      </c>
      <c r="AG271" t="s">
        <v>5220</v>
      </c>
    </row>
    <row r="272" spans="1:33" x14ac:dyDescent="0.25">
      <c r="A272" t="s">
        <v>157</v>
      </c>
      <c r="E272" t="s">
        <v>936</v>
      </c>
      <c r="U272" t="s">
        <v>3226</v>
      </c>
      <c r="Y272" t="s">
        <v>4217</v>
      </c>
      <c r="AC272" t="s">
        <v>13</v>
      </c>
      <c r="AG272" t="s">
        <v>5221</v>
      </c>
    </row>
    <row r="273" spans="1:33" x14ac:dyDescent="0.25">
      <c r="A273" t="s">
        <v>158</v>
      </c>
      <c r="E273" t="s">
        <v>181</v>
      </c>
      <c r="U273" t="s">
        <v>3227</v>
      </c>
      <c r="Y273" t="s">
        <v>4218</v>
      </c>
      <c r="AG273" t="s">
        <v>5222</v>
      </c>
    </row>
    <row r="274" spans="1:33" x14ac:dyDescent="0.25">
      <c r="A274" t="s">
        <v>155</v>
      </c>
      <c r="E274" t="s">
        <v>182</v>
      </c>
      <c r="U274" t="s">
        <v>3228</v>
      </c>
      <c r="Y274" t="s">
        <v>4219</v>
      </c>
      <c r="AG274" t="s">
        <v>5223</v>
      </c>
    </row>
    <row r="275" spans="1:33" x14ac:dyDescent="0.25">
      <c r="A275" t="s">
        <v>159</v>
      </c>
      <c r="E275" t="s">
        <v>2737</v>
      </c>
      <c r="U275" t="s">
        <v>3229</v>
      </c>
      <c r="Y275" t="s">
        <v>4220</v>
      </c>
      <c r="AG275" t="s">
        <v>5224</v>
      </c>
    </row>
    <row r="276" spans="1:33" x14ac:dyDescent="0.25">
      <c r="A276" t="s">
        <v>160</v>
      </c>
      <c r="E276" t="s">
        <v>15</v>
      </c>
      <c r="U276" t="s">
        <v>3230</v>
      </c>
      <c r="Y276" t="s">
        <v>4221</v>
      </c>
      <c r="AG276" t="s">
        <v>5225</v>
      </c>
    </row>
    <row r="277" spans="1:33" x14ac:dyDescent="0.25">
      <c r="A277" t="s">
        <v>161</v>
      </c>
      <c r="E277" t="s">
        <v>151</v>
      </c>
      <c r="U277" t="s">
        <v>3231</v>
      </c>
      <c r="Y277" t="s">
        <v>4222</v>
      </c>
      <c r="AG277" t="s">
        <v>5226</v>
      </c>
    </row>
    <row r="278" spans="1:33" x14ac:dyDescent="0.25">
      <c r="A278" t="s">
        <v>155</v>
      </c>
      <c r="E278" t="s">
        <v>1048</v>
      </c>
      <c r="U278" t="s">
        <v>3232</v>
      </c>
      <c r="Y278" t="s">
        <v>4223</v>
      </c>
      <c r="AG278" t="s">
        <v>5227</v>
      </c>
    </row>
    <row r="279" spans="1:33" x14ac:dyDescent="0.25">
      <c r="A279" t="s">
        <v>162</v>
      </c>
      <c r="E279" t="s">
        <v>149</v>
      </c>
      <c r="U279" t="s">
        <v>3233</v>
      </c>
      <c r="Y279" t="s">
        <v>4224</v>
      </c>
      <c r="AG279" t="s">
        <v>5228</v>
      </c>
    </row>
    <row r="280" spans="1:33" x14ac:dyDescent="0.25">
      <c r="A280" t="s">
        <v>160</v>
      </c>
      <c r="E280" t="s">
        <v>1049</v>
      </c>
      <c r="U280" t="s">
        <v>3234</v>
      </c>
      <c r="Y280" t="s">
        <v>4225</v>
      </c>
      <c r="AG280" t="s">
        <v>5229</v>
      </c>
    </row>
    <row r="281" spans="1:33" x14ac:dyDescent="0.25">
      <c r="A281" t="s">
        <v>163</v>
      </c>
      <c r="E281" t="s">
        <v>151</v>
      </c>
      <c r="U281" t="s">
        <v>3235</v>
      </c>
      <c r="Y281" t="s">
        <v>4226</v>
      </c>
      <c r="AG281" t="s">
        <v>5230</v>
      </c>
    </row>
    <row r="282" spans="1:33" x14ac:dyDescent="0.25">
      <c r="A282" t="s">
        <v>155</v>
      </c>
      <c r="E282" t="s">
        <v>1050</v>
      </c>
      <c r="U282" t="s">
        <v>3236</v>
      </c>
      <c r="Y282" t="s">
        <v>4227</v>
      </c>
      <c r="AG282" t="s">
        <v>5231</v>
      </c>
    </row>
    <row r="283" spans="1:33" x14ac:dyDescent="0.25">
      <c r="A283" t="s">
        <v>164</v>
      </c>
      <c r="E283" t="s">
        <v>149</v>
      </c>
      <c r="U283" t="s">
        <v>3237</v>
      </c>
      <c r="Y283" t="s">
        <v>4228</v>
      </c>
      <c r="AG283" t="s">
        <v>5232</v>
      </c>
    </row>
    <row r="284" spans="1:33" x14ac:dyDescent="0.25">
      <c r="A284" t="s">
        <v>165</v>
      </c>
      <c r="E284" t="s">
        <v>1051</v>
      </c>
      <c r="U284" t="s">
        <v>3238</v>
      </c>
      <c r="Y284" t="s">
        <v>4229</v>
      </c>
      <c r="AG284" t="s">
        <v>5233</v>
      </c>
    </row>
    <row r="285" spans="1:33" x14ac:dyDescent="0.25">
      <c r="A285" t="s">
        <v>166</v>
      </c>
      <c r="E285" t="s">
        <v>160</v>
      </c>
      <c r="U285" t="s">
        <v>3239</v>
      </c>
      <c r="Y285" t="s">
        <v>4230</v>
      </c>
      <c r="AG285" t="s">
        <v>5234</v>
      </c>
    </row>
    <row r="286" spans="1:33" x14ac:dyDescent="0.25">
      <c r="A286" t="s">
        <v>931</v>
      </c>
      <c r="E286" t="s">
        <v>1052</v>
      </c>
      <c r="U286" t="s">
        <v>3240</v>
      </c>
      <c r="Y286" t="s">
        <v>4231</v>
      </c>
      <c r="AG286" t="s">
        <v>5235</v>
      </c>
    </row>
    <row r="287" spans="1:33" x14ac:dyDescent="0.25">
      <c r="A287" t="s">
        <v>168</v>
      </c>
      <c r="E287" t="s">
        <v>1053</v>
      </c>
      <c r="U287" t="s">
        <v>3241</v>
      </c>
      <c r="Y287" t="s">
        <v>4232</v>
      </c>
      <c r="AG287" t="s">
        <v>5236</v>
      </c>
    </row>
    <row r="288" spans="1:33" x14ac:dyDescent="0.25">
      <c r="A288" t="s">
        <v>169</v>
      </c>
      <c r="E288" t="s">
        <v>1054</v>
      </c>
      <c r="U288" t="s">
        <v>3242</v>
      </c>
      <c r="Y288" t="s">
        <v>4233</v>
      </c>
      <c r="AG288" t="s">
        <v>5237</v>
      </c>
    </row>
    <row r="289" spans="1:33" x14ac:dyDescent="0.25">
      <c r="A289" t="s">
        <v>170</v>
      </c>
      <c r="E289" t="s">
        <v>160</v>
      </c>
      <c r="U289" t="s">
        <v>3243</v>
      </c>
      <c r="Y289" t="s">
        <v>4234</v>
      </c>
      <c r="AG289" t="s">
        <v>5238</v>
      </c>
    </row>
    <row r="290" spans="1:33" x14ac:dyDescent="0.25">
      <c r="A290" t="s">
        <v>171</v>
      </c>
      <c r="E290" t="s">
        <v>1055</v>
      </c>
      <c r="U290" t="s">
        <v>3244</v>
      </c>
      <c r="Y290" t="s">
        <v>4235</v>
      </c>
      <c r="AG290" t="s">
        <v>5239</v>
      </c>
    </row>
    <row r="291" spans="1:33" x14ac:dyDescent="0.25">
      <c r="A291" t="s">
        <v>172</v>
      </c>
      <c r="E291" t="s">
        <v>155</v>
      </c>
      <c r="U291" t="s">
        <v>3245</v>
      </c>
      <c r="Y291" t="s">
        <v>4236</v>
      </c>
      <c r="AG291" t="s">
        <v>5240</v>
      </c>
    </row>
    <row r="292" spans="1:33" x14ac:dyDescent="0.25">
      <c r="A292" t="s">
        <v>173</v>
      </c>
      <c r="E292" t="s">
        <v>1056</v>
      </c>
      <c r="U292" t="s">
        <v>3246</v>
      </c>
      <c r="Y292" t="s">
        <v>4237</v>
      </c>
      <c r="AG292" t="s">
        <v>5241</v>
      </c>
    </row>
    <row r="293" spans="1:33" x14ac:dyDescent="0.25">
      <c r="A293" t="s">
        <v>174</v>
      </c>
      <c r="E293" t="s">
        <v>160</v>
      </c>
      <c r="U293" t="s">
        <v>3247</v>
      </c>
      <c r="Y293" t="s">
        <v>4238</v>
      </c>
      <c r="AG293" t="s">
        <v>5242</v>
      </c>
    </row>
    <row r="294" spans="1:33" x14ac:dyDescent="0.25">
      <c r="A294" t="s">
        <v>931</v>
      </c>
      <c r="E294" t="s">
        <v>1057</v>
      </c>
      <c r="U294" t="s">
        <v>3248</v>
      </c>
      <c r="Y294" t="s">
        <v>4239</v>
      </c>
      <c r="AG294" t="s">
        <v>5243</v>
      </c>
    </row>
    <row r="295" spans="1:33" x14ac:dyDescent="0.25">
      <c r="A295" t="s">
        <v>176</v>
      </c>
      <c r="E295" t="s">
        <v>155</v>
      </c>
      <c r="U295" t="s">
        <v>3249</v>
      </c>
      <c r="Y295" t="s">
        <v>4240</v>
      </c>
      <c r="AG295" t="s">
        <v>5244</v>
      </c>
    </row>
    <row r="296" spans="1:33" x14ac:dyDescent="0.25">
      <c r="A296" t="s">
        <v>177</v>
      </c>
      <c r="E296" t="s">
        <v>1058</v>
      </c>
      <c r="U296" t="s">
        <v>3250</v>
      </c>
      <c r="Y296" t="s">
        <v>4241</v>
      </c>
      <c r="AG296" t="s">
        <v>5245</v>
      </c>
    </row>
    <row r="297" spans="1:33" x14ac:dyDescent="0.25">
      <c r="A297" t="s">
        <v>178</v>
      </c>
      <c r="E297" t="s">
        <v>160</v>
      </c>
      <c r="U297" t="s">
        <v>3251</v>
      </c>
      <c r="Y297" t="s">
        <v>4242</v>
      </c>
      <c r="AG297" t="s">
        <v>5246</v>
      </c>
    </row>
    <row r="298" spans="1:33" x14ac:dyDescent="0.25">
      <c r="A298" t="s">
        <v>179</v>
      </c>
      <c r="E298" t="s">
        <v>1059</v>
      </c>
      <c r="U298" t="s">
        <v>3252</v>
      </c>
      <c r="Y298" t="s">
        <v>4243</v>
      </c>
      <c r="AG298" t="s">
        <v>5247</v>
      </c>
    </row>
    <row r="299" spans="1:33" x14ac:dyDescent="0.25">
      <c r="A299" t="s">
        <v>180</v>
      </c>
      <c r="E299" t="s">
        <v>2383</v>
      </c>
      <c r="U299" t="s">
        <v>3253</v>
      </c>
      <c r="Y299" t="s">
        <v>4244</v>
      </c>
      <c r="AG299" t="s">
        <v>5248</v>
      </c>
    </row>
    <row r="300" spans="1:33" x14ac:dyDescent="0.25">
      <c r="A300" t="s">
        <v>181</v>
      </c>
      <c r="E300" t="s">
        <v>1060</v>
      </c>
      <c r="U300" t="s">
        <v>3254</v>
      </c>
      <c r="Y300" t="s">
        <v>4245</v>
      </c>
      <c r="AG300" t="s">
        <v>5249</v>
      </c>
    </row>
    <row r="301" spans="1:33" x14ac:dyDescent="0.25">
      <c r="A301" t="s">
        <v>182</v>
      </c>
      <c r="E301" t="s">
        <v>169</v>
      </c>
      <c r="U301" t="s">
        <v>3255</v>
      </c>
      <c r="Y301" t="s">
        <v>4246</v>
      </c>
      <c r="AG301" t="s">
        <v>5250</v>
      </c>
    </row>
    <row r="302" spans="1:33" x14ac:dyDescent="0.25">
      <c r="A302" t="s">
        <v>2797</v>
      </c>
      <c r="E302" t="s">
        <v>1061</v>
      </c>
      <c r="U302" t="s">
        <v>3256</v>
      </c>
      <c r="Y302" t="s">
        <v>4247</v>
      </c>
      <c r="AG302" t="s">
        <v>5251</v>
      </c>
    </row>
    <row r="303" spans="1:33" x14ac:dyDescent="0.25">
      <c r="A303" t="s">
        <v>184</v>
      </c>
      <c r="E303" t="s">
        <v>931</v>
      </c>
      <c r="U303" t="s">
        <v>3257</v>
      </c>
      <c r="Y303" t="s">
        <v>4248</v>
      </c>
      <c r="AG303" t="s">
        <v>5252</v>
      </c>
    </row>
    <row r="304" spans="1:33" x14ac:dyDescent="0.25">
      <c r="A304" t="s">
        <v>2798</v>
      </c>
      <c r="E304" t="s">
        <v>1062</v>
      </c>
      <c r="U304" t="s">
        <v>3258</v>
      </c>
      <c r="Y304" t="s">
        <v>4249</v>
      </c>
      <c r="AG304" t="s">
        <v>5253</v>
      </c>
    </row>
    <row r="305" spans="1:33" x14ac:dyDescent="0.25">
      <c r="A305" t="s">
        <v>186</v>
      </c>
      <c r="E305" t="s">
        <v>1063</v>
      </c>
      <c r="U305" t="s">
        <v>3259</v>
      </c>
      <c r="Y305" t="s">
        <v>4250</v>
      </c>
      <c r="AG305" t="s">
        <v>5254</v>
      </c>
    </row>
    <row r="306" spans="1:33" x14ac:dyDescent="0.25">
      <c r="A306" t="s">
        <v>10</v>
      </c>
      <c r="E306" t="s">
        <v>1064</v>
      </c>
      <c r="U306" t="s">
        <v>3260</v>
      </c>
      <c r="Y306" t="s">
        <v>4251</v>
      </c>
      <c r="AG306" t="s">
        <v>5255</v>
      </c>
    </row>
    <row r="307" spans="1:33" x14ac:dyDescent="0.25">
      <c r="A307" t="s">
        <v>11</v>
      </c>
      <c r="E307" t="s">
        <v>1065</v>
      </c>
      <c r="U307" t="s">
        <v>3261</v>
      </c>
      <c r="Y307" t="s">
        <v>4252</v>
      </c>
      <c r="AG307" t="s">
        <v>5256</v>
      </c>
    </row>
    <row r="308" spans="1:33" x14ac:dyDescent="0.25">
      <c r="A308" t="s">
        <v>12</v>
      </c>
      <c r="E308" t="s">
        <v>1066</v>
      </c>
      <c r="U308" t="s">
        <v>3262</v>
      </c>
      <c r="Y308" t="s">
        <v>4253</v>
      </c>
      <c r="AG308" t="s">
        <v>5257</v>
      </c>
    </row>
    <row r="309" spans="1:33" x14ac:dyDescent="0.25">
      <c r="A309" t="s">
        <v>13</v>
      </c>
      <c r="E309" t="s">
        <v>169</v>
      </c>
      <c r="U309" t="s">
        <v>3263</v>
      </c>
      <c r="Y309" t="s">
        <v>4254</v>
      </c>
      <c r="AG309" t="s">
        <v>5258</v>
      </c>
    </row>
    <row r="310" spans="1:33" x14ac:dyDescent="0.25">
      <c r="A310" t="s">
        <v>10</v>
      </c>
      <c r="E310" t="s">
        <v>1068</v>
      </c>
      <c r="U310" t="s">
        <v>3264</v>
      </c>
      <c r="Y310" t="s">
        <v>4255</v>
      </c>
      <c r="AG310" t="s">
        <v>5259</v>
      </c>
    </row>
    <row r="311" spans="1:33" x14ac:dyDescent="0.25">
      <c r="A311" t="s">
        <v>11</v>
      </c>
      <c r="E311" t="s">
        <v>179</v>
      </c>
      <c r="U311" t="s">
        <v>3265</v>
      </c>
      <c r="Y311" t="s">
        <v>4256</v>
      </c>
      <c r="AG311" t="s">
        <v>5260</v>
      </c>
    </row>
    <row r="312" spans="1:33" x14ac:dyDescent="0.25">
      <c r="A312" t="s">
        <v>12</v>
      </c>
      <c r="E312" t="s">
        <v>1069</v>
      </c>
      <c r="U312" t="s">
        <v>3266</v>
      </c>
      <c r="Y312" t="s">
        <v>4257</v>
      </c>
      <c r="AG312" t="s">
        <v>5261</v>
      </c>
    </row>
    <row r="313" spans="1:33" x14ac:dyDescent="0.25">
      <c r="A313" t="s">
        <v>13</v>
      </c>
      <c r="E313" t="s">
        <v>177</v>
      </c>
      <c r="U313" t="s">
        <v>3267</v>
      </c>
      <c r="Y313" t="s">
        <v>4258</v>
      </c>
      <c r="AG313" t="s">
        <v>5262</v>
      </c>
    </row>
    <row r="314" spans="1:33" x14ac:dyDescent="0.25">
      <c r="A314" t="s">
        <v>25</v>
      </c>
      <c r="E314" t="s">
        <v>1070</v>
      </c>
      <c r="U314" t="s">
        <v>3268</v>
      </c>
      <c r="Y314" t="s">
        <v>4259</v>
      </c>
      <c r="AG314" t="s">
        <v>5263</v>
      </c>
    </row>
    <row r="315" spans="1:33" x14ac:dyDescent="0.25">
      <c r="A315" t="s">
        <v>26</v>
      </c>
      <c r="E315" t="s">
        <v>6</v>
      </c>
      <c r="U315" t="s">
        <v>3269</v>
      </c>
      <c r="Y315" t="s">
        <v>4260</v>
      </c>
      <c r="AG315" t="s">
        <v>5264</v>
      </c>
    </row>
    <row r="316" spans="1:33" x14ac:dyDescent="0.25">
      <c r="A316" t="s">
        <v>12</v>
      </c>
      <c r="E316" t="s">
        <v>7</v>
      </c>
      <c r="U316" t="s">
        <v>3270</v>
      </c>
      <c r="Y316" t="s">
        <v>4261</v>
      </c>
      <c r="AG316" t="s">
        <v>5265</v>
      </c>
    </row>
    <row r="317" spans="1:33" x14ac:dyDescent="0.25">
      <c r="A317" t="s">
        <v>13</v>
      </c>
      <c r="E317" t="s">
        <v>2862</v>
      </c>
      <c r="U317" t="s">
        <v>3271</v>
      </c>
      <c r="Y317" t="s">
        <v>4262</v>
      </c>
      <c r="AG317" t="s">
        <v>5266</v>
      </c>
    </row>
    <row r="318" spans="1:33" x14ac:dyDescent="0.25">
      <c r="E318" t="s">
        <v>1072</v>
      </c>
      <c r="U318" t="s">
        <v>3272</v>
      </c>
      <c r="Y318" t="s">
        <v>4263</v>
      </c>
      <c r="AG318" t="s">
        <v>5267</v>
      </c>
    </row>
    <row r="319" spans="1:33" x14ac:dyDescent="0.25">
      <c r="E319" t="s">
        <v>2863</v>
      </c>
      <c r="U319" t="s">
        <v>3273</v>
      </c>
      <c r="Y319" t="s">
        <v>4264</v>
      </c>
      <c r="AG319" t="s">
        <v>5268</v>
      </c>
    </row>
    <row r="320" spans="1:33" x14ac:dyDescent="0.25">
      <c r="E320" t="s">
        <v>1074</v>
      </c>
      <c r="U320" t="s">
        <v>3274</v>
      </c>
      <c r="Y320" t="s">
        <v>4265</v>
      </c>
      <c r="AG320" t="s">
        <v>5269</v>
      </c>
    </row>
    <row r="321" spans="5:33" x14ac:dyDescent="0.25">
      <c r="E321" t="s">
        <v>12</v>
      </c>
      <c r="U321" t="s">
        <v>3275</v>
      </c>
      <c r="Y321" t="s">
        <v>4266</v>
      </c>
      <c r="AG321" t="s">
        <v>5270</v>
      </c>
    </row>
    <row r="322" spans="5:33" x14ac:dyDescent="0.25">
      <c r="E322" t="s">
        <v>13</v>
      </c>
      <c r="U322" t="s">
        <v>3276</v>
      </c>
      <c r="Y322" t="s">
        <v>4267</v>
      </c>
      <c r="AG322" t="s">
        <v>5271</v>
      </c>
    </row>
    <row r="323" spans="5:33" x14ac:dyDescent="0.25">
      <c r="E323" t="s">
        <v>10</v>
      </c>
      <c r="U323" t="s">
        <v>3277</v>
      </c>
      <c r="Y323" t="s">
        <v>4268</v>
      </c>
      <c r="AG323" t="s">
        <v>5272</v>
      </c>
    </row>
    <row r="324" spans="5:33" x14ac:dyDescent="0.25">
      <c r="E324" t="s">
        <v>11</v>
      </c>
      <c r="U324" t="s">
        <v>3278</v>
      </c>
      <c r="Y324" t="s">
        <v>4269</v>
      </c>
      <c r="AG324" t="s">
        <v>5273</v>
      </c>
    </row>
    <row r="325" spans="5:33" x14ac:dyDescent="0.25">
      <c r="E325" t="s">
        <v>12</v>
      </c>
      <c r="U325" t="s">
        <v>3279</v>
      </c>
      <c r="Y325" t="s">
        <v>4270</v>
      </c>
      <c r="AG325" t="s">
        <v>5274</v>
      </c>
    </row>
    <row r="326" spans="5:33" x14ac:dyDescent="0.25">
      <c r="E326" t="s">
        <v>13</v>
      </c>
      <c r="U326" t="s">
        <v>3280</v>
      </c>
      <c r="Y326" t="s">
        <v>4271</v>
      </c>
      <c r="AG326" t="s">
        <v>5275</v>
      </c>
    </row>
    <row r="327" spans="5:33" x14ac:dyDescent="0.25">
      <c r="E327" t="s">
        <v>10</v>
      </c>
      <c r="U327" t="s">
        <v>3281</v>
      </c>
      <c r="Y327" t="s">
        <v>4272</v>
      </c>
      <c r="AG327" t="s">
        <v>5276</v>
      </c>
    </row>
    <row r="328" spans="5:33" x14ac:dyDescent="0.25">
      <c r="E328" t="s">
        <v>11</v>
      </c>
      <c r="U328" t="s">
        <v>3282</v>
      </c>
      <c r="Y328" t="s">
        <v>4273</v>
      </c>
      <c r="AG328" t="s">
        <v>5277</v>
      </c>
    </row>
    <row r="329" spans="5:33" x14ac:dyDescent="0.25">
      <c r="E329" t="s">
        <v>37</v>
      </c>
      <c r="U329" t="s">
        <v>3283</v>
      </c>
      <c r="Y329" t="s">
        <v>4274</v>
      </c>
      <c r="AG329" t="s">
        <v>5278</v>
      </c>
    </row>
    <row r="330" spans="5:33" x14ac:dyDescent="0.25">
      <c r="E330" t="s">
        <v>38</v>
      </c>
      <c r="U330" t="s">
        <v>3284</v>
      </c>
      <c r="Y330" t="s">
        <v>4275</v>
      </c>
      <c r="AG330" t="s">
        <v>5279</v>
      </c>
    </row>
    <row r="331" spans="5:33" x14ac:dyDescent="0.25">
      <c r="E331" t="s">
        <v>10</v>
      </c>
      <c r="U331" t="s">
        <v>3285</v>
      </c>
      <c r="Y331" t="s">
        <v>4276</v>
      </c>
      <c r="AG331" t="s">
        <v>5280</v>
      </c>
    </row>
    <row r="332" spans="5:33" x14ac:dyDescent="0.25">
      <c r="E332" t="s">
        <v>11</v>
      </c>
      <c r="U332" t="s">
        <v>3286</v>
      </c>
      <c r="Y332" t="s">
        <v>4277</v>
      </c>
      <c r="AG332" t="s">
        <v>5281</v>
      </c>
    </row>
    <row r="333" spans="5:33" x14ac:dyDescent="0.25">
      <c r="U333" t="s">
        <v>3287</v>
      </c>
      <c r="Y333" t="s">
        <v>4278</v>
      </c>
      <c r="AG333" t="s">
        <v>5282</v>
      </c>
    </row>
    <row r="334" spans="5:33" x14ac:dyDescent="0.25">
      <c r="U334" t="s">
        <v>3288</v>
      </c>
      <c r="Y334" t="s">
        <v>4279</v>
      </c>
      <c r="AG334" t="s">
        <v>5283</v>
      </c>
    </row>
    <row r="335" spans="5:33" x14ac:dyDescent="0.25">
      <c r="U335" t="s">
        <v>3289</v>
      </c>
      <c r="Y335" t="s">
        <v>4280</v>
      </c>
      <c r="AG335" t="s">
        <v>5284</v>
      </c>
    </row>
    <row r="336" spans="5:33" x14ac:dyDescent="0.25">
      <c r="U336" t="s">
        <v>3290</v>
      </c>
      <c r="Y336" t="s">
        <v>4281</v>
      </c>
      <c r="AG336" t="s">
        <v>5285</v>
      </c>
    </row>
    <row r="337" spans="21:33" x14ac:dyDescent="0.25">
      <c r="U337" t="s">
        <v>3291</v>
      </c>
      <c r="Y337" t="s">
        <v>4282</v>
      </c>
      <c r="AG337" t="s">
        <v>5286</v>
      </c>
    </row>
    <row r="338" spans="21:33" x14ac:dyDescent="0.25">
      <c r="U338" t="s">
        <v>3292</v>
      </c>
      <c r="Y338" t="s">
        <v>4283</v>
      </c>
      <c r="AG338" t="s">
        <v>5287</v>
      </c>
    </row>
    <row r="339" spans="21:33" x14ac:dyDescent="0.25">
      <c r="U339" t="s">
        <v>3293</v>
      </c>
      <c r="Y339" t="s">
        <v>4284</v>
      </c>
      <c r="AG339" t="s">
        <v>5288</v>
      </c>
    </row>
    <row r="340" spans="21:33" x14ac:dyDescent="0.25">
      <c r="U340" t="s">
        <v>3294</v>
      </c>
      <c r="Y340" t="s">
        <v>4285</v>
      </c>
      <c r="AG340" t="s">
        <v>5289</v>
      </c>
    </row>
    <row r="341" spans="21:33" x14ac:dyDescent="0.25">
      <c r="U341" t="s">
        <v>3295</v>
      </c>
      <c r="Y341" t="s">
        <v>4286</v>
      </c>
      <c r="AG341" t="s">
        <v>5290</v>
      </c>
    </row>
    <row r="342" spans="21:33" x14ac:dyDescent="0.25">
      <c r="U342" t="s">
        <v>3296</v>
      </c>
      <c r="Y342" t="s">
        <v>4287</v>
      </c>
      <c r="AG342" t="s">
        <v>5291</v>
      </c>
    </row>
    <row r="343" spans="21:33" x14ac:dyDescent="0.25">
      <c r="U343" t="s">
        <v>3297</v>
      </c>
      <c r="Y343" t="s">
        <v>4288</v>
      </c>
      <c r="AG343" t="s">
        <v>5292</v>
      </c>
    </row>
    <row r="344" spans="21:33" x14ac:dyDescent="0.25">
      <c r="U344" t="s">
        <v>3298</v>
      </c>
      <c r="Y344" t="s">
        <v>4289</v>
      </c>
      <c r="AG344" t="s">
        <v>5293</v>
      </c>
    </row>
    <row r="345" spans="21:33" x14ac:dyDescent="0.25">
      <c r="U345" t="s">
        <v>3299</v>
      </c>
      <c r="Y345" t="s">
        <v>4290</v>
      </c>
      <c r="AG345" t="s">
        <v>5294</v>
      </c>
    </row>
    <row r="346" spans="21:33" x14ac:dyDescent="0.25">
      <c r="U346" t="s">
        <v>3300</v>
      </c>
      <c r="Y346" t="s">
        <v>4291</v>
      </c>
      <c r="AG346" t="s">
        <v>5295</v>
      </c>
    </row>
    <row r="347" spans="21:33" x14ac:dyDescent="0.25">
      <c r="U347" t="s">
        <v>3301</v>
      </c>
      <c r="Y347" t="s">
        <v>4292</v>
      </c>
      <c r="AG347" t="s">
        <v>5296</v>
      </c>
    </row>
    <row r="348" spans="21:33" x14ac:dyDescent="0.25">
      <c r="U348" t="s">
        <v>3302</v>
      </c>
      <c r="Y348" t="s">
        <v>4293</v>
      </c>
      <c r="AG348" t="s">
        <v>5297</v>
      </c>
    </row>
    <row r="349" spans="21:33" x14ac:dyDescent="0.25">
      <c r="U349" t="s">
        <v>3303</v>
      </c>
      <c r="Y349" t="s">
        <v>4294</v>
      </c>
      <c r="AG349" t="s">
        <v>5298</v>
      </c>
    </row>
    <row r="350" spans="21:33" x14ac:dyDescent="0.25">
      <c r="U350" t="s">
        <v>3304</v>
      </c>
      <c r="Y350" t="s">
        <v>4295</v>
      </c>
      <c r="AG350" t="s">
        <v>5299</v>
      </c>
    </row>
    <row r="351" spans="21:33" x14ac:dyDescent="0.25">
      <c r="U351" t="s">
        <v>3305</v>
      </c>
      <c r="Y351" t="s">
        <v>4296</v>
      </c>
      <c r="AG351" t="s">
        <v>5300</v>
      </c>
    </row>
    <row r="352" spans="21:33" x14ac:dyDescent="0.25">
      <c r="U352" t="s">
        <v>3306</v>
      </c>
      <c r="Y352" t="s">
        <v>4297</v>
      </c>
      <c r="AG352" t="s">
        <v>5301</v>
      </c>
    </row>
    <row r="353" spans="21:33" x14ac:dyDescent="0.25">
      <c r="U353" t="s">
        <v>3307</v>
      </c>
      <c r="Y353" t="s">
        <v>4298</v>
      </c>
      <c r="AG353" t="s">
        <v>5302</v>
      </c>
    </row>
    <row r="354" spans="21:33" x14ac:dyDescent="0.25">
      <c r="U354" t="s">
        <v>3308</v>
      </c>
      <c r="Y354" t="s">
        <v>4299</v>
      </c>
      <c r="AG354" t="s">
        <v>5303</v>
      </c>
    </row>
    <row r="355" spans="21:33" x14ac:dyDescent="0.25">
      <c r="U355" t="s">
        <v>3309</v>
      </c>
      <c r="Y355" t="s">
        <v>4300</v>
      </c>
      <c r="AG355" t="s">
        <v>5304</v>
      </c>
    </row>
    <row r="356" spans="21:33" x14ac:dyDescent="0.25">
      <c r="U356" t="s">
        <v>3310</v>
      </c>
      <c r="Y356" t="s">
        <v>4301</v>
      </c>
      <c r="AG356" t="s">
        <v>5305</v>
      </c>
    </row>
    <row r="357" spans="21:33" x14ac:dyDescent="0.25">
      <c r="U357" t="s">
        <v>3311</v>
      </c>
      <c r="Y357" t="s">
        <v>4302</v>
      </c>
      <c r="AG357" t="s">
        <v>5306</v>
      </c>
    </row>
    <row r="358" spans="21:33" x14ac:dyDescent="0.25">
      <c r="U358" t="s">
        <v>3312</v>
      </c>
      <c r="Y358" t="s">
        <v>4303</v>
      </c>
      <c r="AG358" t="s">
        <v>5307</v>
      </c>
    </row>
    <row r="359" spans="21:33" x14ac:dyDescent="0.25">
      <c r="U359" t="s">
        <v>3313</v>
      </c>
      <c r="Y359" t="s">
        <v>4304</v>
      </c>
      <c r="AG359" t="s">
        <v>5308</v>
      </c>
    </row>
    <row r="360" spans="21:33" x14ac:dyDescent="0.25">
      <c r="U360" t="s">
        <v>3314</v>
      </c>
      <c r="Y360" t="s">
        <v>4305</v>
      </c>
      <c r="AG360" t="s">
        <v>5309</v>
      </c>
    </row>
    <row r="361" spans="21:33" x14ac:dyDescent="0.25">
      <c r="U361" t="s">
        <v>3315</v>
      </c>
      <c r="Y361" t="s">
        <v>4306</v>
      </c>
      <c r="AG361" t="s">
        <v>5310</v>
      </c>
    </row>
    <row r="362" spans="21:33" x14ac:dyDescent="0.25">
      <c r="U362" t="s">
        <v>3316</v>
      </c>
      <c r="Y362" t="s">
        <v>4307</v>
      </c>
      <c r="AG362" t="s">
        <v>5311</v>
      </c>
    </row>
    <row r="363" spans="21:33" x14ac:dyDescent="0.25">
      <c r="U363" t="s">
        <v>3317</v>
      </c>
      <c r="Y363" t="s">
        <v>4308</v>
      </c>
      <c r="AG363" t="s">
        <v>5312</v>
      </c>
    </row>
    <row r="364" spans="21:33" x14ac:dyDescent="0.25">
      <c r="U364" t="s">
        <v>3318</v>
      </c>
      <c r="Y364" t="s">
        <v>4309</v>
      </c>
      <c r="AG364" t="s">
        <v>5313</v>
      </c>
    </row>
    <row r="365" spans="21:33" x14ac:dyDescent="0.25">
      <c r="U365" t="s">
        <v>3319</v>
      </c>
      <c r="Y365" t="s">
        <v>4310</v>
      </c>
      <c r="AG365" t="s">
        <v>5314</v>
      </c>
    </row>
    <row r="366" spans="21:33" x14ac:dyDescent="0.25">
      <c r="U366" t="s">
        <v>3320</v>
      </c>
      <c r="Y366" t="s">
        <v>4311</v>
      </c>
      <c r="AG366" t="s">
        <v>5315</v>
      </c>
    </row>
    <row r="367" spans="21:33" x14ac:dyDescent="0.25">
      <c r="U367" t="s">
        <v>3321</v>
      </c>
      <c r="Y367" t="s">
        <v>4312</v>
      </c>
      <c r="AG367" t="s">
        <v>5316</v>
      </c>
    </row>
    <row r="368" spans="21:33" x14ac:dyDescent="0.25">
      <c r="U368" t="s">
        <v>3322</v>
      </c>
      <c r="Y368" t="s">
        <v>4313</v>
      </c>
      <c r="AG368" t="s">
        <v>5317</v>
      </c>
    </row>
    <row r="369" spans="21:33" x14ac:dyDescent="0.25">
      <c r="U369" t="s">
        <v>3323</v>
      </c>
      <c r="Y369" t="s">
        <v>4314</v>
      </c>
      <c r="AG369" t="s">
        <v>5318</v>
      </c>
    </row>
    <row r="370" spans="21:33" x14ac:dyDescent="0.25">
      <c r="U370" t="s">
        <v>3324</v>
      </c>
      <c r="Y370" t="s">
        <v>4315</v>
      </c>
      <c r="AG370" t="s">
        <v>5319</v>
      </c>
    </row>
    <row r="371" spans="21:33" x14ac:dyDescent="0.25">
      <c r="U371" t="s">
        <v>3325</v>
      </c>
      <c r="Y371" t="s">
        <v>4316</v>
      </c>
      <c r="AG371" t="s">
        <v>5320</v>
      </c>
    </row>
    <row r="372" spans="21:33" x14ac:dyDescent="0.25">
      <c r="U372" t="s">
        <v>3326</v>
      </c>
      <c r="Y372" t="s">
        <v>4317</v>
      </c>
      <c r="AG372" t="s">
        <v>5321</v>
      </c>
    </row>
    <row r="373" spans="21:33" x14ac:dyDescent="0.25">
      <c r="U373" t="s">
        <v>3327</v>
      </c>
      <c r="Y373" t="s">
        <v>4318</v>
      </c>
      <c r="AG373" t="s">
        <v>5322</v>
      </c>
    </row>
    <row r="374" spans="21:33" x14ac:dyDescent="0.25">
      <c r="U374" t="s">
        <v>3328</v>
      </c>
      <c r="Y374" t="s">
        <v>4319</v>
      </c>
      <c r="AG374" t="s">
        <v>5323</v>
      </c>
    </row>
    <row r="375" spans="21:33" x14ac:dyDescent="0.25">
      <c r="U375" t="s">
        <v>3329</v>
      </c>
      <c r="Y375" t="s">
        <v>4320</v>
      </c>
      <c r="AG375" t="s">
        <v>5324</v>
      </c>
    </row>
    <row r="376" spans="21:33" x14ac:dyDescent="0.25">
      <c r="U376" t="s">
        <v>3330</v>
      </c>
      <c r="Y376" t="s">
        <v>4321</v>
      </c>
      <c r="AG376" t="s">
        <v>5325</v>
      </c>
    </row>
    <row r="377" spans="21:33" x14ac:dyDescent="0.25">
      <c r="U377" t="s">
        <v>3331</v>
      </c>
      <c r="Y377" t="s">
        <v>4322</v>
      </c>
      <c r="AG377" t="s">
        <v>5326</v>
      </c>
    </row>
    <row r="378" spans="21:33" x14ac:dyDescent="0.25">
      <c r="U378" t="s">
        <v>3332</v>
      </c>
      <c r="Y378" t="s">
        <v>4323</v>
      </c>
      <c r="AG378" t="s">
        <v>5327</v>
      </c>
    </row>
    <row r="379" spans="21:33" x14ac:dyDescent="0.25">
      <c r="U379" t="s">
        <v>3333</v>
      </c>
      <c r="Y379" t="s">
        <v>4324</v>
      </c>
      <c r="AG379" t="s">
        <v>5328</v>
      </c>
    </row>
    <row r="380" spans="21:33" x14ac:dyDescent="0.25">
      <c r="U380" t="s">
        <v>3334</v>
      </c>
      <c r="Y380" t="s">
        <v>4325</v>
      </c>
      <c r="AG380" t="s">
        <v>5329</v>
      </c>
    </row>
    <row r="381" spans="21:33" x14ac:dyDescent="0.25">
      <c r="U381" t="s">
        <v>3335</v>
      </c>
      <c r="Y381" t="s">
        <v>4326</v>
      </c>
      <c r="AG381" t="s">
        <v>5330</v>
      </c>
    </row>
    <row r="382" spans="21:33" x14ac:dyDescent="0.25">
      <c r="U382" t="s">
        <v>3336</v>
      </c>
      <c r="Y382" t="s">
        <v>4327</v>
      </c>
      <c r="AG382" t="s">
        <v>5331</v>
      </c>
    </row>
    <row r="383" spans="21:33" x14ac:dyDescent="0.25">
      <c r="U383" t="s">
        <v>3337</v>
      </c>
      <c r="Y383" t="s">
        <v>4328</v>
      </c>
      <c r="AG383" t="s">
        <v>5332</v>
      </c>
    </row>
    <row r="384" spans="21:33" x14ac:dyDescent="0.25">
      <c r="U384" t="s">
        <v>3338</v>
      </c>
      <c r="Y384" t="s">
        <v>4329</v>
      </c>
      <c r="AG384" t="s">
        <v>5333</v>
      </c>
    </row>
    <row r="385" spans="21:33" x14ac:dyDescent="0.25">
      <c r="U385" t="s">
        <v>3339</v>
      </c>
      <c r="Y385" t="s">
        <v>4330</v>
      </c>
      <c r="AG385" t="s">
        <v>5334</v>
      </c>
    </row>
    <row r="386" spans="21:33" x14ac:dyDescent="0.25">
      <c r="U386" t="s">
        <v>3340</v>
      </c>
      <c r="Y386" t="s">
        <v>4331</v>
      </c>
      <c r="AG386" t="s">
        <v>5335</v>
      </c>
    </row>
    <row r="387" spans="21:33" x14ac:dyDescent="0.25">
      <c r="U387" t="s">
        <v>3341</v>
      </c>
      <c r="Y387" t="s">
        <v>4332</v>
      </c>
      <c r="AG387" t="s">
        <v>5336</v>
      </c>
    </row>
    <row r="388" spans="21:33" x14ac:dyDescent="0.25">
      <c r="U388" t="s">
        <v>3342</v>
      </c>
      <c r="Y388" t="s">
        <v>4333</v>
      </c>
      <c r="AG388" t="s">
        <v>5337</v>
      </c>
    </row>
    <row r="389" spans="21:33" x14ac:dyDescent="0.25">
      <c r="U389" t="s">
        <v>3343</v>
      </c>
      <c r="Y389" t="s">
        <v>4334</v>
      </c>
      <c r="AG389" t="s">
        <v>5338</v>
      </c>
    </row>
    <row r="390" spans="21:33" x14ac:dyDescent="0.25">
      <c r="U390" t="s">
        <v>3344</v>
      </c>
      <c r="Y390" t="s">
        <v>4335</v>
      </c>
      <c r="AG390" t="s">
        <v>5339</v>
      </c>
    </row>
    <row r="391" spans="21:33" x14ac:dyDescent="0.25">
      <c r="U391" t="s">
        <v>3345</v>
      </c>
      <c r="Y391" t="s">
        <v>4336</v>
      </c>
      <c r="AG391" t="s">
        <v>5340</v>
      </c>
    </row>
    <row r="392" spans="21:33" x14ac:dyDescent="0.25">
      <c r="U392" t="s">
        <v>3346</v>
      </c>
      <c r="Y392" t="s">
        <v>4337</v>
      </c>
      <c r="AG392" t="s">
        <v>5341</v>
      </c>
    </row>
    <row r="393" spans="21:33" x14ac:dyDescent="0.25">
      <c r="U393" t="s">
        <v>3347</v>
      </c>
      <c r="Y393" t="s">
        <v>4338</v>
      </c>
      <c r="AG393" t="s">
        <v>5342</v>
      </c>
    </row>
    <row r="394" spans="21:33" x14ac:dyDescent="0.25">
      <c r="U394" t="s">
        <v>3348</v>
      </c>
      <c r="Y394" t="s">
        <v>4339</v>
      </c>
      <c r="AG394" t="s">
        <v>5343</v>
      </c>
    </row>
    <row r="395" spans="21:33" x14ac:dyDescent="0.25">
      <c r="U395" t="s">
        <v>3349</v>
      </c>
      <c r="Y395" t="s">
        <v>4340</v>
      </c>
      <c r="AG395" t="s">
        <v>5344</v>
      </c>
    </row>
    <row r="396" spans="21:33" x14ac:dyDescent="0.25">
      <c r="U396" t="s">
        <v>3350</v>
      </c>
      <c r="Y396" t="s">
        <v>4341</v>
      </c>
      <c r="AG396" t="s">
        <v>5345</v>
      </c>
    </row>
    <row r="397" spans="21:33" x14ac:dyDescent="0.25">
      <c r="U397" t="s">
        <v>3351</v>
      </c>
      <c r="Y397" t="s">
        <v>4342</v>
      </c>
      <c r="AG397" t="s">
        <v>5346</v>
      </c>
    </row>
    <row r="398" spans="21:33" x14ac:dyDescent="0.25">
      <c r="U398" t="s">
        <v>3352</v>
      </c>
      <c r="Y398" t="s">
        <v>4343</v>
      </c>
      <c r="AG398" t="s">
        <v>5347</v>
      </c>
    </row>
    <row r="399" spans="21:33" x14ac:dyDescent="0.25">
      <c r="U399" t="s">
        <v>3353</v>
      </c>
      <c r="Y399" t="s">
        <v>4344</v>
      </c>
      <c r="AG399" t="s">
        <v>5348</v>
      </c>
    </row>
    <row r="400" spans="21:33" x14ac:dyDescent="0.25">
      <c r="U400" t="s">
        <v>3354</v>
      </c>
      <c r="Y400" t="s">
        <v>4345</v>
      </c>
      <c r="AG400" t="s">
        <v>5349</v>
      </c>
    </row>
    <row r="401" spans="21:33" x14ac:dyDescent="0.25">
      <c r="U401" t="s">
        <v>3355</v>
      </c>
      <c r="Y401" t="s">
        <v>4346</v>
      </c>
      <c r="AG401" t="s">
        <v>5350</v>
      </c>
    </row>
    <row r="402" spans="21:33" x14ac:dyDescent="0.25">
      <c r="U402" t="s">
        <v>3356</v>
      </c>
      <c r="Y402" t="s">
        <v>4347</v>
      </c>
      <c r="AG402" t="s">
        <v>5351</v>
      </c>
    </row>
    <row r="403" spans="21:33" x14ac:dyDescent="0.25">
      <c r="U403" t="s">
        <v>3357</v>
      </c>
      <c r="Y403" t="s">
        <v>4348</v>
      </c>
      <c r="AG403" t="s">
        <v>5352</v>
      </c>
    </row>
    <row r="404" spans="21:33" x14ac:dyDescent="0.25">
      <c r="U404" t="s">
        <v>3358</v>
      </c>
      <c r="Y404" t="s">
        <v>4349</v>
      </c>
      <c r="AG404" t="s">
        <v>5353</v>
      </c>
    </row>
    <row r="405" spans="21:33" x14ac:dyDescent="0.25">
      <c r="U405" t="s">
        <v>3359</v>
      </c>
      <c r="Y405" t="s">
        <v>4350</v>
      </c>
      <c r="AG405" t="s">
        <v>5354</v>
      </c>
    </row>
    <row r="406" spans="21:33" x14ac:dyDescent="0.25">
      <c r="U406" t="s">
        <v>3360</v>
      </c>
      <c r="Y406" t="s">
        <v>4351</v>
      </c>
      <c r="AG406" t="s">
        <v>5355</v>
      </c>
    </row>
    <row r="407" spans="21:33" x14ac:dyDescent="0.25">
      <c r="U407" t="s">
        <v>3361</v>
      </c>
      <c r="Y407" t="s">
        <v>4352</v>
      </c>
      <c r="AG407" t="s">
        <v>5356</v>
      </c>
    </row>
    <row r="408" spans="21:33" x14ac:dyDescent="0.25">
      <c r="U408" t="s">
        <v>3362</v>
      </c>
      <c r="Y408" t="s">
        <v>4353</v>
      </c>
      <c r="AG408" t="s">
        <v>5357</v>
      </c>
    </row>
    <row r="409" spans="21:33" x14ac:dyDescent="0.25">
      <c r="U409" t="s">
        <v>3363</v>
      </c>
      <c r="Y409" t="s">
        <v>4354</v>
      </c>
      <c r="AG409" t="s">
        <v>5358</v>
      </c>
    </row>
    <row r="410" spans="21:33" x14ac:dyDescent="0.25">
      <c r="U410" t="s">
        <v>3364</v>
      </c>
      <c r="Y410" t="s">
        <v>4355</v>
      </c>
      <c r="AG410" t="s">
        <v>5359</v>
      </c>
    </row>
    <row r="411" spans="21:33" x14ac:dyDescent="0.25">
      <c r="U411" t="s">
        <v>3365</v>
      </c>
      <c r="Y411" t="s">
        <v>4356</v>
      </c>
      <c r="AG411" t="s">
        <v>5360</v>
      </c>
    </row>
    <row r="412" spans="21:33" x14ac:dyDescent="0.25">
      <c r="U412" t="s">
        <v>3366</v>
      </c>
      <c r="Y412" t="s">
        <v>4357</v>
      </c>
      <c r="AG412" t="s">
        <v>5361</v>
      </c>
    </row>
    <row r="413" spans="21:33" x14ac:dyDescent="0.25">
      <c r="U413" t="s">
        <v>3367</v>
      </c>
      <c r="Y413" t="s">
        <v>4358</v>
      </c>
      <c r="AG413" t="s">
        <v>5362</v>
      </c>
    </row>
    <row r="414" spans="21:33" x14ac:dyDescent="0.25">
      <c r="U414" t="s">
        <v>3368</v>
      </c>
      <c r="Y414" t="s">
        <v>4359</v>
      </c>
      <c r="AG414" t="s">
        <v>5363</v>
      </c>
    </row>
    <row r="415" spans="21:33" x14ac:dyDescent="0.25">
      <c r="U415" t="s">
        <v>3369</v>
      </c>
      <c r="Y415" t="s">
        <v>4360</v>
      </c>
      <c r="AG415" t="s">
        <v>5364</v>
      </c>
    </row>
    <row r="416" spans="21:33" x14ac:dyDescent="0.25">
      <c r="U416" t="s">
        <v>3370</v>
      </c>
      <c r="Y416" t="s">
        <v>4361</v>
      </c>
      <c r="AG416" t="s">
        <v>5365</v>
      </c>
    </row>
    <row r="417" spans="21:33" x14ac:dyDescent="0.25">
      <c r="U417" t="s">
        <v>3371</v>
      </c>
      <c r="Y417" t="s">
        <v>4362</v>
      </c>
      <c r="AG417" t="s">
        <v>5366</v>
      </c>
    </row>
    <row r="418" spans="21:33" x14ac:dyDescent="0.25">
      <c r="U418" t="s">
        <v>3372</v>
      </c>
      <c r="Y418" t="s">
        <v>4363</v>
      </c>
      <c r="AG418" t="s">
        <v>5367</v>
      </c>
    </row>
    <row r="419" spans="21:33" x14ac:dyDescent="0.25">
      <c r="U419" t="s">
        <v>3373</v>
      </c>
      <c r="Y419" t="s">
        <v>4364</v>
      </c>
      <c r="AG419" t="s">
        <v>5368</v>
      </c>
    </row>
    <row r="420" spans="21:33" x14ac:dyDescent="0.25">
      <c r="U420" t="s">
        <v>3374</v>
      </c>
      <c r="Y420" t="s">
        <v>4365</v>
      </c>
      <c r="AG420" t="s">
        <v>5369</v>
      </c>
    </row>
    <row r="421" spans="21:33" x14ac:dyDescent="0.25">
      <c r="U421" t="s">
        <v>3375</v>
      </c>
      <c r="Y421" t="s">
        <v>4366</v>
      </c>
      <c r="AG421" t="s">
        <v>5370</v>
      </c>
    </row>
    <row r="422" spans="21:33" x14ac:dyDescent="0.25">
      <c r="U422" t="s">
        <v>3376</v>
      </c>
      <c r="Y422" t="s">
        <v>4367</v>
      </c>
      <c r="AG422" t="s">
        <v>5371</v>
      </c>
    </row>
    <row r="423" spans="21:33" x14ac:dyDescent="0.25">
      <c r="U423" t="s">
        <v>3377</v>
      </c>
      <c r="Y423" t="s">
        <v>4368</v>
      </c>
      <c r="AG423" t="s">
        <v>5372</v>
      </c>
    </row>
    <row r="424" spans="21:33" x14ac:dyDescent="0.25">
      <c r="U424" t="s">
        <v>3378</v>
      </c>
      <c r="Y424" t="s">
        <v>4369</v>
      </c>
      <c r="AG424" t="s">
        <v>5373</v>
      </c>
    </row>
    <row r="425" spans="21:33" x14ac:dyDescent="0.25">
      <c r="U425" t="s">
        <v>3379</v>
      </c>
      <c r="Y425" t="s">
        <v>4370</v>
      </c>
      <c r="AG425" t="s">
        <v>5374</v>
      </c>
    </row>
    <row r="426" spans="21:33" x14ac:dyDescent="0.25">
      <c r="U426" t="s">
        <v>3380</v>
      </c>
      <c r="Y426" t="s">
        <v>4371</v>
      </c>
      <c r="AG426" t="s">
        <v>5375</v>
      </c>
    </row>
    <row r="427" spans="21:33" x14ac:dyDescent="0.25">
      <c r="U427" t="s">
        <v>3381</v>
      </c>
      <c r="Y427" t="s">
        <v>4372</v>
      </c>
      <c r="AG427" t="s">
        <v>5376</v>
      </c>
    </row>
    <row r="428" spans="21:33" x14ac:dyDescent="0.25">
      <c r="U428" t="s">
        <v>3382</v>
      </c>
      <c r="Y428" t="s">
        <v>4373</v>
      </c>
      <c r="AG428" t="s">
        <v>5377</v>
      </c>
    </row>
    <row r="429" spans="21:33" x14ac:dyDescent="0.25">
      <c r="U429" t="s">
        <v>3383</v>
      </c>
      <c r="Y429" t="s">
        <v>4374</v>
      </c>
      <c r="AG429" t="s">
        <v>5378</v>
      </c>
    </row>
    <row r="430" spans="21:33" x14ac:dyDescent="0.25">
      <c r="U430" t="s">
        <v>3384</v>
      </c>
      <c r="Y430" t="s">
        <v>4375</v>
      </c>
      <c r="AG430" t="s">
        <v>5379</v>
      </c>
    </row>
    <row r="431" spans="21:33" x14ac:dyDescent="0.25">
      <c r="U431" t="s">
        <v>3385</v>
      </c>
      <c r="Y431" t="s">
        <v>4376</v>
      </c>
      <c r="AG431" t="s">
        <v>5380</v>
      </c>
    </row>
    <row r="432" spans="21:33" x14ac:dyDescent="0.25">
      <c r="U432" t="s">
        <v>3386</v>
      </c>
      <c r="Y432" t="s">
        <v>4377</v>
      </c>
      <c r="AG432" t="s">
        <v>5381</v>
      </c>
    </row>
    <row r="433" spans="21:33" x14ac:dyDescent="0.25">
      <c r="U433" t="s">
        <v>3387</v>
      </c>
      <c r="Y433" t="s">
        <v>4378</v>
      </c>
      <c r="AG433" t="s">
        <v>5382</v>
      </c>
    </row>
    <row r="434" spans="21:33" x14ac:dyDescent="0.25">
      <c r="U434" t="s">
        <v>3388</v>
      </c>
      <c r="Y434" t="s">
        <v>4379</v>
      </c>
      <c r="AG434" t="s">
        <v>5383</v>
      </c>
    </row>
    <row r="435" spans="21:33" x14ac:dyDescent="0.25">
      <c r="U435" t="s">
        <v>3389</v>
      </c>
      <c r="Y435" t="s">
        <v>4380</v>
      </c>
      <c r="AG435" t="s">
        <v>5384</v>
      </c>
    </row>
    <row r="436" spans="21:33" x14ac:dyDescent="0.25">
      <c r="U436" t="s">
        <v>3390</v>
      </c>
      <c r="Y436" t="s">
        <v>4381</v>
      </c>
      <c r="AG436" t="s">
        <v>5385</v>
      </c>
    </row>
    <row r="437" spans="21:33" x14ac:dyDescent="0.25">
      <c r="U437" t="s">
        <v>3391</v>
      </c>
      <c r="Y437" t="s">
        <v>4382</v>
      </c>
      <c r="AG437" t="s">
        <v>5386</v>
      </c>
    </row>
    <row r="438" spans="21:33" x14ac:dyDescent="0.25">
      <c r="U438" t="s">
        <v>3392</v>
      </c>
      <c r="Y438" t="s">
        <v>4383</v>
      </c>
      <c r="AG438" t="s">
        <v>5387</v>
      </c>
    </row>
    <row r="439" spans="21:33" x14ac:dyDescent="0.25">
      <c r="U439" t="s">
        <v>3393</v>
      </c>
      <c r="Y439" t="s">
        <v>4384</v>
      </c>
      <c r="AG439" t="s">
        <v>5388</v>
      </c>
    </row>
    <row r="440" spans="21:33" x14ac:dyDescent="0.25">
      <c r="U440" t="s">
        <v>3394</v>
      </c>
      <c r="Y440" t="s">
        <v>4385</v>
      </c>
      <c r="AG440" t="s">
        <v>5389</v>
      </c>
    </row>
    <row r="441" spans="21:33" x14ac:dyDescent="0.25">
      <c r="U441" t="s">
        <v>3395</v>
      </c>
      <c r="Y441" t="s">
        <v>4386</v>
      </c>
      <c r="AG441" t="s">
        <v>5390</v>
      </c>
    </row>
    <row r="442" spans="21:33" x14ac:dyDescent="0.25">
      <c r="U442" t="s">
        <v>3396</v>
      </c>
      <c r="Y442" t="s">
        <v>4387</v>
      </c>
      <c r="AG442" t="s">
        <v>5391</v>
      </c>
    </row>
    <row r="443" spans="21:33" x14ac:dyDescent="0.25">
      <c r="U443" t="s">
        <v>3397</v>
      </c>
      <c r="Y443" t="s">
        <v>4388</v>
      </c>
      <c r="AG443" t="s">
        <v>5392</v>
      </c>
    </row>
    <row r="444" spans="21:33" x14ac:dyDescent="0.25">
      <c r="U444" t="s">
        <v>3398</v>
      </c>
      <c r="Y444" t="s">
        <v>4389</v>
      </c>
      <c r="AG444" t="s">
        <v>5393</v>
      </c>
    </row>
    <row r="445" spans="21:33" x14ac:dyDescent="0.25">
      <c r="U445" t="s">
        <v>3399</v>
      </c>
      <c r="Y445" t="s">
        <v>4390</v>
      </c>
      <c r="AG445" t="s">
        <v>5394</v>
      </c>
    </row>
    <row r="446" spans="21:33" x14ac:dyDescent="0.25">
      <c r="U446" t="s">
        <v>3400</v>
      </c>
      <c r="Y446" t="s">
        <v>4391</v>
      </c>
      <c r="AG446" t="s">
        <v>5395</v>
      </c>
    </row>
    <row r="447" spans="21:33" x14ac:dyDescent="0.25">
      <c r="U447" t="s">
        <v>3401</v>
      </c>
      <c r="Y447" t="s">
        <v>4392</v>
      </c>
      <c r="AG447" t="s">
        <v>5396</v>
      </c>
    </row>
    <row r="448" spans="21:33" x14ac:dyDescent="0.25">
      <c r="U448" t="s">
        <v>3402</v>
      </c>
      <c r="Y448" t="s">
        <v>4393</v>
      </c>
      <c r="AG448" t="s">
        <v>5397</v>
      </c>
    </row>
    <row r="449" spans="21:33" x14ac:dyDescent="0.25">
      <c r="U449" t="s">
        <v>3403</v>
      </c>
      <c r="Y449" t="s">
        <v>4394</v>
      </c>
      <c r="AG449" t="s">
        <v>5398</v>
      </c>
    </row>
    <row r="450" spans="21:33" x14ac:dyDescent="0.25">
      <c r="U450" t="s">
        <v>3404</v>
      </c>
      <c r="Y450" t="s">
        <v>4395</v>
      </c>
      <c r="AG450" t="s">
        <v>5399</v>
      </c>
    </row>
    <row r="451" spans="21:33" x14ac:dyDescent="0.25">
      <c r="U451" t="s">
        <v>3405</v>
      </c>
      <c r="Y451" t="s">
        <v>4396</v>
      </c>
      <c r="AG451" t="s">
        <v>5400</v>
      </c>
    </row>
    <row r="452" spans="21:33" x14ac:dyDescent="0.25">
      <c r="U452" t="s">
        <v>3406</v>
      </c>
      <c r="Y452" t="s">
        <v>4397</v>
      </c>
      <c r="AG452" t="s">
        <v>5035</v>
      </c>
    </row>
    <row r="453" spans="21:33" x14ac:dyDescent="0.25">
      <c r="U453" t="s">
        <v>3407</v>
      </c>
      <c r="Y453" t="s">
        <v>4398</v>
      </c>
      <c r="AG453" t="s">
        <v>5401</v>
      </c>
    </row>
    <row r="454" spans="21:33" x14ac:dyDescent="0.25">
      <c r="U454" t="s">
        <v>3408</v>
      </c>
      <c r="Y454" t="s">
        <v>4399</v>
      </c>
      <c r="AG454" t="s">
        <v>5402</v>
      </c>
    </row>
    <row r="455" spans="21:33" x14ac:dyDescent="0.25">
      <c r="U455" t="s">
        <v>3409</v>
      </c>
      <c r="Y455" t="s">
        <v>4400</v>
      </c>
      <c r="AG455" t="s">
        <v>5403</v>
      </c>
    </row>
    <row r="456" spans="21:33" x14ac:dyDescent="0.25">
      <c r="U456" t="s">
        <v>3410</v>
      </c>
      <c r="Y456" t="s">
        <v>4401</v>
      </c>
      <c r="AG456" t="s">
        <v>5404</v>
      </c>
    </row>
    <row r="457" spans="21:33" x14ac:dyDescent="0.25">
      <c r="U457" t="s">
        <v>3411</v>
      </c>
      <c r="Y457" t="s">
        <v>4402</v>
      </c>
      <c r="AG457" t="s">
        <v>5405</v>
      </c>
    </row>
    <row r="458" spans="21:33" x14ac:dyDescent="0.25">
      <c r="U458" t="s">
        <v>3412</v>
      </c>
      <c r="Y458" t="s">
        <v>4403</v>
      </c>
      <c r="AG458" t="s">
        <v>5406</v>
      </c>
    </row>
    <row r="459" spans="21:33" x14ac:dyDescent="0.25">
      <c r="U459" t="s">
        <v>3413</v>
      </c>
      <c r="Y459" t="s">
        <v>4404</v>
      </c>
      <c r="AG459" t="s">
        <v>5407</v>
      </c>
    </row>
    <row r="460" spans="21:33" x14ac:dyDescent="0.25">
      <c r="U460" t="s">
        <v>3414</v>
      </c>
      <c r="Y460" t="s">
        <v>4405</v>
      </c>
      <c r="AG460" t="s">
        <v>5408</v>
      </c>
    </row>
    <row r="461" spans="21:33" x14ac:dyDescent="0.25">
      <c r="U461" t="s">
        <v>3415</v>
      </c>
      <c r="Y461" t="s">
        <v>4406</v>
      </c>
      <c r="AG461" t="s">
        <v>5409</v>
      </c>
    </row>
    <row r="462" spans="21:33" x14ac:dyDescent="0.25">
      <c r="U462" t="s">
        <v>3416</v>
      </c>
      <c r="Y462" t="s">
        <v>4407</v>
      </c>
      <c r="AG462" t="s">
        <v>5410</v>
      </c>
    </row>
    <row r="463" spans="21:33" x14ac:dyDescent="0.25">
      <c r="U463" t="s">
        <v>3417</v>
      </c>
      <c r="Y463" t="s">
        <v>4408</v>
      </c>
      <c r="AG463" t="s">
        <v>5411</v>
      </c>
    </row>
    <row r="464" spans="21:33" x14ac:dyDescent="0.25">
      <c r="U464" t="s">
        <v>3418</v>
      </c>
      <c r="Y464" t="s">
        <v>4409</v>
      </c>
      <c r="AG464" t="s">
        <v>5412</v>
      </c>
    </row>
    <row r="465" spans="21:33" x14ac:dyDescent="0.25">
      <c r="U465" t="s">
        <v>3419</v>
      </c>
      <c r="Y465" t="s">
        <v>4410</v>
      </c>
      <c r="AG465" t="s">
        <v>5413</v>
      </c>
    </row>
    <row r="466" spans="21:33" x14ac:dyDescent="0.25">
      <c r="U466" t="s">
        <v>3420</v>
      </c>
      <c r="Y466" t="s">
        <v>4411</v>
      </c>
      <c r="AG466" t="s">
        <v>5414</v>
      </c>
    </row>
    <row r="467" spans="21:33" x14ac:dyDescent="0.25">
      <c r="U467" t="s">
        <v>3421</v>
      </c>
      <c r="Y467" t="s">
        <v>4412</v>
      </c>
      <c r="AG467" t="s">
        <v>5415</v>
      </c>
    </row>
    <row r="468" spans="21:33" x14ac:dyDescent="0.25">
      <c r="U468" t="s">
        <v>3422</v>
      </c>
      <c r="Y468" t="s">
        <v>4413</v>
      </c>
      <c r="AG468" t="s">
        <v>5416</v>
      </c>
    </row>
    <row r="469" spans="21:33" x14ac:dyDescent="0.25">
      <c r="U469" t="s">
        <v>3423</v>
      </c>
      <c r="Y469" t="s">
        <v>4414</v>
      </c>
      <c r="AG469" t="s">
        <v>5417</v>
      </c>
    </row>
    <row r="470" spans="21:33" x14ac:dyDescent="0.25">
      <c r="U470" t="s">
        <v>3424</v>
      </c>
      <c r="Y470" t="s">
        <v>4415</v>
      </c>
      <c r="AG470" t="s">
        <v>5418</v>
      </c>
    </row>
    <row r="471" spans="21:33" x14ac:dyDescent="0.25">
      <c r="U471" t="s">
        <v>3425</v>
      </c>
      <c r="Y471" t="s">
        <v>4416</v>
      </c>
      <c r="AG471" t="s">
        <v>5419</v>
      </c>
    </row>
    <row r="472" spans="21:33" x14ac:dyDescent="0.25">
      <c r="U472" t="s">
        <v>3426</v>
      </c>
      <c r="Y472" t="s">
        <v>4417</v>
      </c>
      <c r="AG472" t="s">
        <v>5420</v>
      </c>
    </row>
    <row r="473" spans="21:33" x14ac:dyDescent="0.25">
      <c r="U473" t="s">
        <v>3427</v>
      </c>
      <c r="Y473" t="s">
        <v>4418</v>
      </c>
      <c r="AG473" t="s">
        <v>5421</v>
      </c>
    </row>
    <row r="474" spans="21:33" x14ac:dyDescent="0.25">
      <c r="U474" t="s">
        <v>3428</v>
      </c>
      <c r="Y474" t="s">
        <v>4419</v>
      </c>
      <c r="AG474" t="s">
        <v>5422</v>
      </c>
    </row>
    <row r="475" spans="21:33" x14ac:dyDescent="0.25">
      <c r="U475" t="s">
        <v>3429</v>
      </c>
      <c r="Y475" t="s">
        <v>4420</v>
      </c>
      <c r="AG475" t="s">
        <v>5423</v>
      </c>
    </row>
    <row r="476" spans="21:33" x14ac:dyDescent="0.25">
      <c r="U476" t="s">
        <v>3430</v>
      </c>
      <c r="Y476" t="s">
        <v>4421</v>
      </c>
      <c r="AG476" t="s">
        <v>5424</v>
      </c>
    </row>
    <row r="477" spans="21:33" x14ac:dyDescent="0.25">
      <c r="U477" t="s">
        <v>3431</v>
      </c>
      <c r="Y477" t="s">
        <v>4422</v>
      </c>
      <c r="AG477" t="s">
        <v>5425</v>
      </c>
    </row>
    <row r="478" spans="21:33" x14ac:dyDescent="0.25">
      <c r="U478" t="s">
        <v>3432</v>
      </c>
      <c r="Y478" t="s">
        <v>4423</v>
      </c>
      <c r="AG478" t="s">
        <v>5426</v>
      </c>
    </row>
    <row r="479" spans="21:33" x14ac:dyDescent="0.25">
      <c r="U479" t="s">
        <v>3433</v>
      </c>
      <c r="Y479" t="s">
        <v>4424</v>
      </c>
      <c r="AG479" t="s">
        <v>5427</v>
      </c>
    </row>
    <row r="480" spans="21:33" x14ac:dyDescent="0.25">
      <c r="U480" t="s">
        <v>3434</v>
      </c>
      <c r="Y480" t="s">
        <v>4425</v>
      </c>
      <c r="AG480" t="s">
        <v>5428</v>
      </c>
    </row>
    <row r="481" spans="21:33" x14ac:dyDescent="0.25">
      <c r="U481" t="s">
        <v>3435</v>
      </c>
      <c r="Y481" t="s">
        <v>4426</v>
      </c>
      <c r="AG481" t="s">
        <v>5429</v>
      </c>
    </row>
    <row r="482" spans="21:33" x14ac:dyDescent="0.25">
      <c r="U482" t="s">
        <v>3436</v>
      </c>
      <c r="Y482" t="s">
        <v>4427</v>
      </c>
      <c r="AG482" t="s">
        <v>5430</v>
      </c>
    </row>
    <row r="483" spans="21:33" x14ac:dyDescent="0.25">
      <c r="U483" t="s">
        <v>3437</v>
      </c>
      <c r="Y483" t="s">
        <v>4428</v>
      </c>
      <c r="AG483" t="s">
        <v>5431</v>
      </c>
    </row>
    <row r="484" spans="21:33" x14ac:dyDescent="0.25">
      <c r="U484" t="s">
        <v>3438</v>
      </c>
      <c r="Y484" t="s">
        <v>4429</v>
      </c>
      <c r="AG484" t="s">
        <v>5432</v>
      </c>
    </row>
    <row r="485" spans="21:33" x14ac:dyDescent="0.25">
      <c r="U485" t="s">
        <v>3439</v>
      </c>
      <c r="Y485" t="s">
        <v>4430</v>
      </c>
      <c r="AG485" t="s">
        <v>5433</v>
      </c>
    </row>
    <row r="486" spans="21:33" x14ac:dyDescent="0.25">
      <c r="U486" t="s">
        <v>3440</v>
      </c>
      <c r="Y486" t="s">
        <v>4431</v>
      </c>
      <c r="AG486" t="s">
        <v>5434</v>
      </c>
    </row>
    <row r="487" spans="21:33" x14ac:dyDescent="0.25">
      <c r="U487" t="s">
        <v>3441</v>
      </c>
      <c r="Y487" t="s">
        <v>4432</v>
      </c>
      <c r="AG487" t="s">
        <v>5435</v>
      </c>
    </row>
    <row r="488" spans="21:33" x14ac:dyDescent="0.25">
      <c r="U488" t="s">
        <v>3442</v>
      </c>
      <c r="Y488" t="s">
        <v>4433</v>
      </c>
      <c r="AG488" t="s">
        <v>5436</v>
      </c>
    </row>
    <row r="489" spans="21:33" x14ac:dyDescent="0.25">
      <c r="U489" t="s">
        <v>3443</v>
      </c>
      <c r="Y489" t="s">
        <v>4434</v>
      </c>
      <c r="AG489" t="s">
        <v>5437</v>
      </c>
    </row>
    <row r="490" spans="21:33" x14ac:dyDescent="0.25">
      <c r="U490" t="s">
        <v>3444</v>
      </c>
      <c r="Y490" t="s">
        <v>4435</v>
      </c>
      <c r="AG490" t="s">
        <v>5438</v>
      </c>
    </row>
    <row r="491" spans="21:33" x14ac:dyDescent="0.25">
      <c r="U491" t="s">
        <v>3445</v>
      </c>
      <c r="Y491" t="s">
        <v>4436</v>
      </c>
      <c r="AG491" t="s">
        <v>5439</v>
      </c>
    </row>
    <row r="492" spans="21:33" x14ac:dyDescent="0.25">
      <c r="U492" t="s">
        <v>3446</v>
      </c>
      <c r="Y492" t="s">
        <v>4437</v>
      </c>
      <c r="AG492" t="s">
        <v>5440</v>
      </c>
    </row>
    <row r="493" spans="21:33" x14ac:dyDescent="0.25">
      <c r="U493" t="s">
        <v>3447</v>
      </c>
      <c r="Y493" t="s">
        <v>4438</v>
      </c>
      <c r="AG493" t="s">
        <v>5441</v>
      </c>
    </row>
    <row r="494" spans="21:33" x14ac:dyDescent="0.25">
      <c r="U494" t="s">
        <v>3448</v>
      </c>
      <c r="Y494" t="s">
        <v>4439</v>
      </c>
      <c r="AG494" t="s">
        <v>5442</v>
      </c>
    </row>
    <row r="495" spans="21:33" x14ac:dyDescent="0.25">
      <c r="U495" t="s">
        <v>3449</v>
      </c>
      <c r="Y495" t="s">
        <v>4440</v>
      </c>
      <c r="AG495" t="s">
        <v>5443</v>
      </c>
    </row>
    <row r="496" spans="21:33" x14ac:dyDescent="0.25">
      <c r="U496" t="s">
        <v>3450</v>
      </c>
      <c r="Y496" t="s">
        <v>4441</v>
      </c>
      <c r="AG496" t="s">
        <v>5444</v>
      </c>
    </row>
    <row r="497" spans="21:33" x14ac:dyDescent="0.25">
      <c r="U497" t="s">
        <v>3451</v>
      </c>
      <c r="Y497" t="s">
        <v>4442</v>
      </c>
      <c r="AG497" t="s">
        <v>5445</v>
      </c>
    </row>
    <row r="498" spans="21:33" x14ac:dyDescent="0.25">
      <c r="U498" t="s">
        <v>3452</v>
      </c>
      <c r="Y498" t="s">
        <v>4443</v>
      </c>
      <c r="AG498" t="s">
        <v>5446</v>
      </c>
    </row>
    <row r="499" spans="21:33" x14ac:dyDescent="0.25">
      <c r="U499" t="s">
        <v>3453</v>
      </c>
      <c r="Y499" t="s">
        <v>4444</v>
      </c>
      <c r="AG499" t="s">
        <v>5447</v>
      </c>
    </row>
    <row r="500" spans="21:33" x14ac:dyDescent="0.25">
      <c r="U500" t="s">
        <v>3454</v>
      </c>
      <c r="Y500" t="s">
        <v>4445</v>
      </c>
      <c r="AG500" t="s">
        <v>5448</v>
      </c>
    </row>
    <row r="501" spans="21:33" x14ac:dyDescent="0.25">
      <c r="U501" t="s">
        <v>3455</v>
      </c>
      <c r="Y501" t="s">
        <v>4446</v>
      </c>
      <c r="AG501" t="s">
        <v>5449</v>
      </c>
    </row>
    <row r="502" spans="21:33" x14ac:dyDescent="0.25">
      <c r="U502" t="s">
        <v>3456</v>
      </c>
      <c r="Y502" t="s">
        <v>4447</v>
      </c>
      <c r="AG502" t="s">
        <v>5450</v>
      </c>
    </row>
    <row r="503" spans="21:33" x14ac:dyDescent="0.25">
      <c r="U503" t="s">
        <v>3457</v>
      </c>
      <c r="Y503" t="s">
        <v>4448</v>
      </c>
      <c r="AG503" t="s">
        <v>5451</v>
      </c>
    </row>
    <row r="504" spans="21:33" x14ac:dyDescent="0.25">
      <c r="U504" t="s">
        <v>3458</v>
      </c>
      <c r="Y504" t="s">
        <v>4449</v>
      </c>
      <c r="AG504" t="s">
        <v>5452</v>
      </c>
    </row>
    <row r="505" spans="21:33" x14ac:dyDescent="0.25">
      <c r="U505" t="s">
        <v>3459</v>
      </c>
      <c r="Y505" t="s">
        <v>4450</v>
      </c>
      <c r="AG505" t="s">
        <v>5453</v>
      </c>
    </row>
    <row r="506" spans="21:33" x14ac:dyDescent="0.25">
      <c r="U506" t="s">
        <v>3460</v>
      </c>
      <c r="Y506" t="s">
        <v>4451</v>
      </c>
      <c r="AG506" t="s">
        <v>5454</v>
      </c>
    </row>
    <row r="507" spans="21:33" x14ac:dyDescent="0.25">
      <c r="U507" t="s">
        <v>3461</v>
      </c>
      <c r="Y507" t="s">
        <v>4452</v>
      </c>
      <c r="AG507" t="s">
        <v>5455</v>
      </c>
    </row>
    <row r="508" spans="21:33" x14ac:dyDescent="0.25">
      <c r="U508" t="s">
        <v>3462</v>
      </c>
      <c r="Y508" t="s">
        <v>4453</v>
      </c>
      <c r="AG508" t="s">
        <v>5456</v>
      </c>
    </row>
    <row r="509" spans="21:33" x14ac:dyDescent="0.25">
      <c r="U509" t="s">
        <v>3463</v>
      </c>
      <c r="Y509" t="s">
        <v>4454</v>
      </c>
      <c r="AG509" t="s">
        <v>5457</v>
      </c>
    </row>
    <row r="510" spans="21:33" x14ac:dyDescent="0.25">
      <c r="U510" t="s">
        <v>3464</v>
      </c>
      <c r="Y510" t="s">
        <v>4455</v>
      </c>
      <c r="AG510" t="s">
        <v>5458</v>
      </c>
    </row>
    <row r="511" spans="21:33" x14ac:dyDescent="0.25">
      <c r="U511" t="s">
        <v>3465</v>
      </c>
      <c r="Y511" t="s">
        <v>4456</v>
      </c>
      <c r="AG511" t="s">
        <v>5459</v>
      </c>
    </row>
    <row r="512" spans="21:33" x14ac:dyDescent="0.25">
      <c r="U512" t="s">
        <v>3466</v>
      </c>
      <c r="Y512" t="s">
        <v>4457</v>
      </c>
      <c r="AG512" t="s">
        <v>5460</v>
      </c>
    </row>
    <row r="513" spans="21:33" x14ac:dyDescent="0.25">
      <c r="U513" t="s">
        <v>3467</v>
      </c>
      <c r="Y513" t="s">
        <v>4458</v>
      </c>
      <c r="AG513" t="s">
        <v>5461</v>
      </c>
    </row>
    <row r="514" spans="21:33" x14ac:dyDescent="0.25">
      <c r="U514" t="s">
        <v>3468</v>
      </c>
      <c r="Y514" t="s">
        <v>4459</v>
      </c>
      <c r="AG514" t="s">
        <v>5462</v>
      </c>
    </row>
    <row r="515" spans="21:33" x14ac:dyDescent="0.25">
      <c r="U515" t="s">
        <v>3469</v>
      </c>
      <c r="Y515" t="s">
        <v>4460</v>
      </c>
      <c r="AG515" t="s">
        <v>5463</v>
      </c>
    </row>
    <row r="516" spans="21:33" x14ac:dyDescent="0.25">
      <c r="U516" t="s">
        <v>3470</v>
      </c>
      <c r="Y516" t="s">
        <v>4461</v>
      </c>
      <c r="AG516" t="s">
        <v>5464</v>
      </c>
    </row>
    <row r="517" spans="21:33" x14ac:dyDescent="0.25">
      <c r="U517" t="s">
        <v>3471</v>
      </c>
      <c r="Y517" t="s">
        <v>4462</v>
      </c>
      <c r="AG517" t="s">
        <v>5465</v>
      </c>
    </row>
    <row r="518" spans="21:33" x14ac:dyDescent="0.25">
      <c r="U518" t="s">
        <v>3472</v>
      </c>
      <c r="Y518" t="s">
        <v>4463</v>
      </c>
      <c r="AG518" t="s">
        <v>5466</v>
      </c>
    </row>
    <row r="519" spans="21:33" x14ac:dyDescent="0.25">
      <c r="U519" t="s">
        <v>3473</v>
      </c>
      <c r="Y519" t="s">
        <v>4464</v>
      </c>
      <c r="AG519" t="s">
        <v>5467</v>
      </c>
    </row>
    <row r="520" spans="21:33" x14ac:dyDescent="0.25">
      <c r="U520" t="s">
        <v>3474</v>
      </c>
      <c r="Y520" t="s">
        <v>4465</v>
      </c>
      <c r="AG520" t="s">
        <v>5468</v>
      </c>
    </row>
    <row r="521" spans="21:33" x14ac:dyDescent="0.25">
      <c r="U521" t="s">
        <v>3475</v>
      </c>
      <c r="Y521" t="s">
        <v>4466</v>
      </c>
      <c r="AG521" t="s">
        <v>5469</v>
      </c>
    </row>
    <row r="522" spans="21:33" x14ac:dyDescent="0.25">
      <c r="U522" t="s">
        <v>3476</v>
      </c>
      <c r="Y522" t="s">
        <v>4467</v>
      </c>
      <c r="AG522" t="s">
        <v>5470</v>
      </c>
    </row>
    <row r="523" spans="21:33" x14ac:dyDescent="0.25">
      <c r="U523" t="s">
        <v>3477</v>
      </c>
      <c r="Y523" t="s">
        <v>4468</v>
      </c>
      <c r="AG523" t="s">
        <v>5471</v>
      </c>
    </row>
    <row r="524" spans="21:33" x14ac:dyDescent="0.25">
      <c r="U524" t="s">
        <v>3478</v>
      </c>
      <c r="Y524" t="s">
        <v>4469</v>
      </c>
      <c r="AG524" t="s">
        <v>5472</v>
      </c>
    </row>
    <row r="525" spans="21:33" x14ac:dyDescent="0.25">
      <c r="U525" t="s">
        <v>3479</v>
      </c>
      <c r="Y525" t="s">
        <v>4470</v>
      </c>
      <c r="AG525" t="s">
        <v>5473</v>
      </c>
    </row>
    <row r="526" spans="21:33" x14ac:dyDescent="0.25">
      <c r="U526" t="s">
        <v>3480</v>
      </c>
      <c r="Y526" t="s">
        <v>4471</v>
      </c>
      <c r="AG526" t="s">
        <v>5474</v>
      </c>
    </row>
    <row r="527" spans="21:33" x14ac:dyDescent="0.25">
      <c r="U527" t="s">
        <v>3481</v>
      </c>
      <c r="Y527" t="s">
        <v>4472</v>
      </c>
      <c r="AG527" t="s">
        <v>5475</v>
      </c>
    </row>
    <row r="528" spans="21:33" x14ac:dyDescent="0.25">
      <c r="U528" t="s">
        <v>3482</v>
      </c>
      <c r="Y528" t="s">
        <v>4473</v>
      </c>
      <c r="AG528" t="s">
        <v>5476</v>
      </c>
    </row>
    <row r="529" spans="21:33" x14ac:dyDescent="0.25">
      <c r="U529" t="s">
        <v>3483</v>
      </c>
      <c r="Y529" t="s">
        <v>4474</v>
      </c>
      <c r="AG529" t="s">
        <v>5477</v>
      </c>
    </row>
    <row r="530" spans="21:33" x14ac:dyDescent="0.25">
      <c r="U530" t="s">
        <v>3484</v>
      </c>
      <c r="Y530" t="s">
        <v>4475</v>
      </c>
      <c r="AG530" t="s">
        <v>5478</v>
      </c>
    </row>
    <row r="531" spans="21:33" x14ac:dyDescent="0.25">
      <c r="U531" t="s">
        <v>3485</v>
      </c>
      <c r="Y531" t="s">
        <v>4476</v>
      </c>
      <c r="AG531" t="s">
        <v>5479</v>
      </c>
    </row>
    <row r="532" spans="21:33" x14ac:dyDescent="0.25">
      <c r="U532" t="s">
        <v>3486</v>
      </c>
      <c r="Y532" t="s">
        <v>4477</v>
      </c>
      <c r="AG532" t="s">
        <v>5480</v>
      </c>
    </row>
    <row r="533" spans="21:33" x14ac:dyDescent="0.25">
      <c r="U533" t="s">
        <v>3487</v>
      </c>
      <c r="Y533" t="s">
        <v>4478</v>
      </c>
      <c r="AG533" t="s">
        <v>5481</v>
      </c>
    </row>
    <row r="534" spans="21:33" x14ac:dyDescent="0.25">
      <c r="U534" t="s">
        <v>3488</v>
      </c>
      <c r="Y534" t="s">
        <v>4479</v>
      </c>
      <c r="AG534" t="s">
        <v>5482</v>
      </c>
    </row>
    <row r="535" spans="21:33" x14ac:dyDescent="0.25">
      <c r="U535" t="s">
        <v>3489</v>
      </c>
      <c r="Y535" t="s">
        <v>4480</v>
      </c>
      <c r="AG535" t="s">
        <v>5483</v>
      </c>
    </row>
    <row r="536" spans="21:33" x14ac:dyDescent="0.25">
      <c r="U536" t="s">
        <v>3490</v>
      </c>
      <c r="Y536" t="s">
        <v>4481</v>
      </c>
      <c r="AG536" t="s">
        <v>5484</v>
      </c>
    </row>
    <row r="537" spans="21:33" x14ac:dyDescent="0.25">
      <c r="U537" t="s">
        <v>3491</v>
      </c>
      <c r="Y537" t="s">
        <v>4482</v>
      </c>
      <c r="AG537" t="s">
        <v>5485</v>
      </c>
    </row>
    <row r="538" spans="21:33" x14ac:dyDescent="0.25">
      <c r="U538" t="s">
        <v>3492</v>
      </c>
      <c r="Y538" t="s">
        <v>4483</v>
      </c>
      <c r="AG538" t="s">
        <v>5486</v>
      </c>
    </row>
    <row r="539" spans="21:33" x14ac:dyDescent="0.25">
      <c r="U539" t="s">
        <v>3493</v>
      </c>
      <c r="Y539" t="s">
        <v>4484</v>
      </c>
      <c r="AG539" t="s">
        <v>5487</v>
      </c>
    </row>
    <row r="540" spans="21:33" x14ac:dyDescent="0.25">
      <c r="U540" t="s">
        <v>3494</v>
      </c>
      <c r="Y540" t="s">
        <v>4485</v>
      </c>
      <c r="AG540" t="s">
        <v>5488</v>
      </c>
    </row>
    <row r="541" spans="21:33" x14ac:dyDescent="0.25">
      <c r="U541" t="s">
        <v>3495</v>
      </c>
      <c r="Y541" t="s">
        <v>4486</v>
      </c>
      <c r="AG541" t="s">
        <v>5489</v>
      </c>
    </row>
    <row r="542" spans="21:33" x14ac:dyDescent="0.25">
      <c r="U542" t="s">
        <v>3496</v>
      </c>
      <c r="Y542" t="s">
        <v>4487</v>
      </c>
      <c r="AG542" t="s">
        <v>5490</v>
      </c>
    </row>
    <row r="543" spans="21:33" x14ac:dyDescent="0.25">
      <c r="U543" t="s">
        <v>3497</v>
      </c>
      <c r="Y543" t="s">
        <v>4488</v>
      </c>
      <c r="AG543" t="s">
        <v>5491</v>
      </c>
    </row>
    <row r="544" spans="21:33" x14ac:dyDescent="0.25">
      <c r="U544" t="s">
        <v>3498</v>
      </c>
      <c r="Y544" t="s">
        <v>4489</v>
      </c>
      <c r="AG544" t="s">
        <v>5492</v>
      </c>
    </row>
    <row r="545" spans="21:33" x14ac:dyDescent="0.25">
      <c r="U545" t="s">
        <v>3499</v>
      </c>
      <c r="Y545" t="s">
        <v>4490</v>
      </c>
      <c r="AG545" t="s">
        <v>5493</v>
      </c>
    </row>
    <row r="546" spans="21:33" x14ac:dyDescent="0.25">
      <c r="U546" t="s">
        <v>3500</v>
      </c>
      <c r="Y546" t="s">
        <v>4491</v>
      </c>
      <c r="AG546" t="s">
        <v>5494</v>
      </c>
    </row>
    <row r="547" spans="21:33" x14ac:dyDescent="0.25">
      <c r="U547" t="s">
        <v>3501</v>
      </c>
      <c r="Y547" t="s">
        <v>4492</v>
      </c>
      <c r="AG547" t="s">
        <v>5495</v>
      </c>
    </row>
    <row r="548" spans="21:33" x14ac:dyDescent="0.25">
      <c r="U548" t="s">
        <v>3502</v>
      </c>
      <c r="Y548" t="s">
        <v>4493</v>
      </c>
      <c r="AG548" t="s">
        <v>5496</v>
      </c>
    </row>
    <row r="549" spans="21:33" x14ac:dyDescent="0.25">
      <c r="U549" t="s">
        <v>3503</v>
      </c>
      <c r="Y549" t="s">
        <v>4494</v>
      </c>
      <c r="AG549" t="s">
        <v>5497</v>
      </c>
    </row>
    <row r="550" spans="21:33" x14ac:dyDescent="0.25">
      <c r="U550" t="s">
        <v>3504</v>
      </c>
      <c r="Y550" t="s">
        <v>4495</v>
      </c>
      <c r="AG550" t="s">
        <v>5498</v>
      </c>
    </row>
    <row r="551" spans="21:33" x14ac:dyDescent="0.25">
      <c r="U551" t="s">
        <v>3505</v>
      </c>
      <c r="Y551" t="s">
        <v>4496</v>
      </c>
      <c r="AG551" t="s">
        <v>5499</v>
      </c>
    </row>
    <row r="552" spans="21:33" x14ac:dyDescent="0.25">
      <c r="U552" t="s">
        <v>3506</v>
      </c>
      <c r="Y552" t="s">
        <v>4497</v>
      </c>
      <c r="AG552" t="s">
        <v>5500</v>
      </c>
    </row>
    <row r="553" spans="21:33" x14ac:dyDescent="0.25">
      <c r="U553" t="s">
        <v>3507</v>
      </c>
      <c r="Y553" t="s">
        <v>4498</v>
      </c>
      <c r="AG553" t="s">
        <v>5501</v>
      </c>
    </row>
    <row r="554" spans="21:33" x14ac:dyDescent="0.25">
      <c r="U554" t="s">
        <v>3508</v>
      </c>
      <c r="Y554" t="s">
        <v>4499</v>
      </c>
      <c r="AG554" t="s">
        <v>5502</v>
      </c>
    </row>
    <row r="555" spans="21:33" x14ac:dyDescent="0.25">
      <c r="U555" t="s">
        <v>3509</v>
      </c>
      <c r="Y555" t="s">
        <v>4500</v>
      </c>
      <c r="AG555" t="s">
        <v>5503</v>
      </c>
    </row>
    <row r="556" spans="21:33" x14ac:dyDescent="0.25">
      <c r="U556" t="s">
        <v>3510</v>
      </c>
      <c r="Y556" t="s">
        <v>4501</v>
      </c>
      <c r="AG556" t="s">
        <v>5504</v>
      </c>
    </row>
    <row r="557" spans="21:33" x14ac:dyDescent="0.25">
      <c r="U557" t="s">
        <v>3511</v>
      </c>
      <c r="Y557" t="s">
        <v>4502</v>
      </c>
      <c r="AG557" t="s">
        <v>5505</v>
      </c>
    </row>
    <row r="558" spans="21:33" x14ac:dyDescent="0.25">
      <c r="U558" t="s">
        <v>3512</v>
      </c>
      <c r="Y558" t="s">
        <v>4503</v>
      </c>
      <c r="AG558" t="s">
        <v>5506</v>
      </c>
    </row>
    <row r="559" spans="21:33" x14ac:dyDescent="0.25">
      <c r="U559" t="s">
        <v>3513</v>
      </c>
      <c r="Y559" t="s">
        <v>4504</v>
      </c>
      <c r="AG559" t="s">
        <v>5507</v>
      </c>
    </row>
    <row r="560" spans="21:33" x14ac:dyDescent="0.25">
      <c r="U560" t="s">
        <v>3514</v>
      </c>
      <c r="Y560" t="s">
        <v>4505</v>
      </c>
      <c r="AG560" t="s">
        <v>5508</v>
      </c>
    </row>
    <row r="561" spans="21:33" x14ac:dyDescent="0.25">
      <c r="U561" t="s">
        <v>3515</v>
      </c>
      <c r="Y561" t="s">
        <v>4506</v>
      </c>
      <c r="AG561" t="s">
        <v>5509</v>
      </c>
    </row>
    <row r="562" spans="21:33" x14ac:dyDescent="0.25">
      <c r="U562" t="s">
        <v>3516</v>
      </c>
      <c r="Y562" t="s">
        <v>4507</v>
      </c>
      <c r="AG562" t="s">
        <v>5510</v>
      </c>
    </row>
    <row r="563" spans="21:33" x14ac:dyDescent="0.25">
      <c r="U563" t="s">
        <v>3517</v>
      </c>
      <c r="Y563" t="s">
        <v>4508</v>
      </c>
      <c r="AG563" t="s">
        <v>5511</v>
      </c>
    </row>
    <row r="564" spans="21:33" x14ac:dyDescent="0.25">
      <c r="U564" t="s">
        <v>3518</v>
      </c>
      <c r="Y564" t="s">
        <v>4509</v>
      </c>
      <c r="AG564" t="s">
        <v>5512</v>
      </c>
    </row>
    <row r="565" spans="21:33" x14ac:dyDescent="0.25">
      <c r="U565" t="s">
        <v>3519</v>
      </c>
      <c r="Y565" t="s">
        <v>4510</v>
      </c>
      <c r="AG565" t="s">
        <v>5513</v>
      </c>
    </row>
    <row r="566" spans="21:33" x14ac:dyDescent="0.25">
      <c r="U566" t="s">
        <v>3520</v>
      </c>
      <c r="Y566" t="s">
        <v>4511</v>
      </c>
      <c r="AG566" t="s">
        <v>5514</v>
      </c>
    </row>
    <row r="567" spans="21:33" x14ac:dyDescent="0.25">
      <c r="U567" t="s">
        <v>3521</v>
      </c>
      <c r="Y567" t="s">
        <v>4512</v>
      </c>
      <c r="AG567" t="s">
        <v>5515</v>
      </c>
    </row>
    <row r="568" spans="21:33" x14ac:dyDescent="0.25">
      <c r="U568" t="s">
        <v>3522</v>
      </c>
      <c r="Y568" t="s">
        <v>4513</v>
      </c>
      <c r="AG568" t="s">
        <v>5516</v>
      </c>
    </row>
    <row r="569" spans="21:33" x14ac:dyDescent="0.25">
      <c r="U569" t="s">
        <v>3523</v>
      </c>
      <c r="Y569" t="s">
        <v>4514</v>
      </c>
      <c r="AG569" t="s">
        <v>5517</v>
      </c>
    </row>
    <row r="570" spans="21:33" x14ac:dyDescent="0.25">
      <c r="U570" t="s">
        <v>3524</v>
      </c>
      <c r="Y570" t="s">
        <v>4515</v>
      </c>
      <c r="AG570" t="s">
        <v>5518</v>
      </c>
    </row>
    <row r="571" spans="21:33" x14ac:dyDescent="0.25">
      <c r="U571" t="s">
        <v>3525</v>
      </c>
      <c r="Y571" t="s">
        <v>4516</v>
      </c>
      <c r="AG571" t="s">
        <v>5519</v>
      </c>
    </row>
    <row r="572" spans="21:33" x14ac:dyDescent="0.25">
      <c r="U572" t="s">
        <v>3526</v>
      </c>
      <c r="Y572" t="s">
        <v>4517</v>
      </c>
      <c r="AG572" t="s">
        <v>5520</v>
      </c>
    </row>
    <row r="573" spans="21:33" x14ac:dyDescent="0.25">
      <c r="U573" t="s">
        <v>3527</v>
      </c>
      <c r="Y573" t="s">
        <v>4518</v>
      </c>
      <c r="AG573" t="s">
        <v>5521</v>
      </c>
    </row>
    <row r="574" spans="21:33" x14ac:dyDescent="0.25">
      <c r="U574" t="s">
        <v>3528</v>
      </c>
      <c r="Y574" t="s">
        <v>4519</v>
      </c>
      <c r="AG574" t="s">
        <v>5522</v>
      </c>
    </row>
    <row r="575" spans="21:33" x14ac:dyDescent="0.25">
      <c r="U575" t="s">
        <v>3529</v>
      </c>
      <c r="Y575" t="s">
        <v>4520</v>
      </c>
      <c r="AG575" t="s">
        <v>5523</v>
      </c>
    </row>
    <row r="576" spans="21:33" x14ac:dyDescent="0.25">
      <c r="U576" t="s">
        <v>3530</v>
      </c>
      <c r="Y576" t="s">
        <v>4521</v>
      </c>
      <c r="AG576" t="s">
        <v>5524</v>
      </c>
    </row>
    <row r="577" spans="21:33" x14ac:dyDescent="0.25">
      <c r="U577" t="s">
        <v>3531</v>
      </c>
      <c r="Y577" t="s">
        <v>4522</v>
      </c>
      <c r="AG577" t="s">
        <v>5525</v>
      </c>
    </row>
    <row r="578" spans="21:33" x14ac:dyDescent="0.25">
      <c r="U578" t="s">
        <v>3532</v>
      </c>
      <c r="Y578" t="s">
        <v>4523</v>
      </c>
      <c r="AG578" t="s">
        <v>5526</v>
      </c>
    </row>
    <row r="579" spans="21:33" x14ac:dyDescent="0.25">
      <c r="U579" t="s">
        <v>3533</v>
      </c>
      <c r="Y579" t="s">
        <v>4524</v>
      </c>
      <c r="AG579" t="s">
        <v>5527</v>
      </c>
    </row>
    <row r="580" spans="21:33" x14ac:dyDescent="0.25">
      <c r="U580" t="s">
        <v>3534</v>
      </c>
      <c r="Y580" t="s">
        <v>4525</v>
      </c>
      <c r="AG580" t="s">
        <v>5528</v>
      </c>
    </row>
    <row r="581" spans="21:33" x14ac:dyDescent="0.25">
      <c r="U581" t="s">
        <v>3535</v>
      </c>
      <c r="Y581" t="s">
        <v>4526</v>
      </c>
      <c r="AG581" t="s">
        <v>5529</v>
      </c>
    </row>
    <row r="582" spans="21:33" x14ac:dyDescent="0.25">
      <c r="U582" t="s">
        <v>3536</v>
      </c>
      <c r="Y582" t="s">
        <v>4527</v>
      </c>
      <c r="AG582" t="s">
        <v>5530</v>
      </c>
    </row>
    <row r="583" spans="21:33" x14ac:dyDescent="0.25">
      <c r="U583" t="s">
        <v>3537</v>
      </c>
      <c r="Y583" t="s">
        <v>4528</v>
      </c>
      <c r="AG583" t="s">
        <v>5531</v>
      </c>
    </row>
    <row r="584" spans="21:33" x14ac:dyDescent="0.25">
      <c r="U584" t="s">
        <v>3538</v>
      </c>
      <c r="Y584" t="s">
        <v>4529</v>
      </c>
      <c r="AG584" t="s">
        <v>5532</v>
      </c>
    </row>
    <row r="585" spans="21:33" x14ac:dyDescent="0.25">
      <c r="U585" t="s">
        <v>3539</v>
      </c>
      <c r="Y585" t="s">
        <v>4530</v>
      </c>
      <c r="AG585" t="s">
        <v>5533</v>
      </c>
    </row>
    <row r="586" spans="21:33" x14ac:dyDescent="0.25">
      <c r="U586" t="s">
        <v>3540</v>
      </c>
      <c r="Y586" t="s">
        <v>4531</v>
      </c>
      <c r="AG586" t="s">
        <v>5534</v>
      </c>
    </row>
    <row r="587" spans="21:33" x14ac:dyDescent="0.25">
      <c r="U587" t="s">
        <v>3541</v>
      </c>
      <c r="Y587" t="s">
        <v>4532</v>
      </c>
      <c r="AG587" t="s">
        <v>5535</v>
      </c>
    </row>
    <row r="588" spans="21:33" x14ac:dyDescent="0.25">
      <c r="U588" t="s">
        <v>3542</v>
      </c>
      <c r="Y588" t="s">
        <v>4533</v>
      </c>
      <c r="AG588" t="s">
        <v>5536</v>
      </c>
    </row>
    <row r="589" spans="21:33" x14ac:dyDescent="0.25">
      <c r="U589" t="s">
        <v>3543</v>
      </c>
      <c r="Y589" t="s">
        <v>4534</v>
      </c>
      <c r="AG589" t="s">
        <v>5537</v>
      </c>
    </row>
    <row r="590" spans="21:33" x14ac:dyDescent="0.25">
      <c r="U590" t="s">
        <v>3544</v>
      </c>
      <c r="Y590" t="s">
        <v>4535</v>
      </c>
      <c r="AG590" t="s">
        <v>5538</v>
      </c>
    </row>
    <row r="591" spans="21:33" x14ac:dyDescent="0.25">
      <c r="U591" t="s">
        <v>3545</v>
      </c>
      <c r="Y591" t="s">
        <v>4536</v>
      </c>
      <c r="AG591" t="s">
        <v>5539</v>
      </c>
    </row>
    <row r="592" spans="21:33" x14ac:dyDescent="0.25">
      <c r="U592" t="s">
        <v>3546</v>
      </c>
      <c r="Y592" t="s">
        <v>4537</v>
      </c>
      <c r="AG592" t="s">
        <v>5540</v>
      </c>
    </row>
    <row r="593" spans="21:33" x14ac:dyDescent="0.25">
      <c r="U593" t="s">
        <v>3547</v>
      </c>
      <c r="Y593" t="s">
        <v>4538</v>
      </c>
      <c r="AG593" t="s">
        <v>5541</v>
      </c>
    </row>
    <row r="594" spans="21:33" x14ac:dyDescent="0.25">
      <c r="U594" t="s">
        <v>3548</v>
      </c>
      <c r="Y594" t="s">
        <v>4539</v>
      </c>
      <c r="AG594" t="s">
        <v>5542</v>
      </c>
    </row>
    <row r="595" spans="21:33" x14ac:dyDescent="0.25">
      <c r="U595" t="s">
        <v>3549</v>
      </c>
      <c r="Y595" t="s">
        <v>4540</v>
      </c>
      <c r="AG595" t="s">
        <v>5543</v>
      </c>
    </row>
    <row r="596" spans="21:33" x14ac:dyDescent="0.25">
      <c r="U596" t="s">
        <v>3550</v>
      </c>
      <c r="Y596" t="s">
        <v>4541</v>
      </c>
      <c r="AG596" t="s">
        <v>5544</v>
      </c>
    </row>
    <row r="597" spans="21:33" x14ac:dyDescent="0.25">
      <c r="U597" t="s">
        <v>3551</v>
      </c>
      <c r="Y597" t="s">
        <v>4542</v>
      </c>
      <c r="AG597" t="s">
        <v>5545</v>
      </c>
    </row>
    <row r="598" spans="21:33" x14ac:dyDescent="0.25">
      <c r="U598" t="s">
        <v>3552</v>
      </c>
      <c r="Y598" t="s">
        <v>4543</v>
      </c>
      <c r="AG598" t="s">
        <v>5546</v>
      </c>
    </row>
    <row r="599" spans="21:33" x14ac:dyDescent="0.25">
      <c r="U599" t="s">
        <v>3553</v>
      </c>
      <c r="Y599" t="s">
        <v>4544</v>
      </c>
      <c r="AG599" t="s">
        <v>5547</v>
      </c>
    </row>
    <row r="600" spans="21:33" x14ac:dyDescent="0.25">
      <c r="U600" t="s">
        <v>3554</v>
      </c>
      <c r="Y600" t="s">
        <v>4545</v>
      </c>
      <c r="AG600" t="s">
        <v>5548</v>
      </c>
    </row>
    <row r="601" spans="21:33" x14ac:dyDescent="0.25">
      <c r="U601" t="s">
        <v>3555</v>
      </c>
      <c r="Y601" t="s">
        <v>4546</v>
      </c>
      <c r="AG601" t="s">
        <v>5549</v>
      </c>
    </row>
    <row r="602" spans="21:33" x14ac:dyDescent="0.25">
      <c r="U602" t="s">
        <v>3556</v>
      </c>
      <c r="Y602" t="s">
        <v>4547</v>
      </c>
      <c r="AG602" t="s">
        <v>5080</v>
      </c>
    </row>
    <row r="603" spans="21:33" x14ac:dyDescent="0.25">
      <c r="U603" t="s">
        <v>3557</v>
      </c>
      <c r="Y603" t="s">
        <v>4548</v>
      </c>
      <c r="AG603" t="s">
        <v>5550</v>
      </c>
    </row>
    <row r="604" spans="21:33" x14ac:dyDescent="0.25">
      <c r="U604" t="s">
        <v>3558</v>
      </c>
      <c r="Y604" t="s">
        <v>4549</v>
      </c>
      <c r="AG604" t="s">
        <v>5551</v>
      </c>
    </row>
    <row r="605" spans="21:33" x14ac:dyDescent="0.25">
      <c r="U605" t="s">
        <v>3559</v>
      </c>
      <c r="Y605" t="s">
        <v>4550</v>
      </c>
      <c r="AG605" t="s">
        <v>5552</v>
      </c>
    </row>
    <row r="606" spans="21:33" x14ac:dyDescent="0.25">
      <c r="U606" t="s">
        <v>3560</v>
      </c>
      <c r="Y606" t="s">
        <v>4551</v>
      </c>
      <c r="AG606" t="s">
        <v>5553</v>
      </c>
    </row>
    <row r="607" spans="21:33" x14ac:dyDescent="0.25">
      <c r="U607" t="s">
        <v>3561</v>
      </c>
      <c r="Y607" t="s">
        <v>4552</v>
      </c>
      <c r="AG607" t="s">
        <v>5554</v>
      </c>
    </row>
    <row r="608" spans="21:33" x14ac:dyDescent="0.25">
      <c r="U608" t="s">
        <v>3562</v>
      </c>
      <c r="Y608" t="s">
        <v>4553</v>
      </c>
      <c r="AG608" t="s">
        <v>5555</v>
      </c>
    </row>
    <row r="609" spans="21:33" x14ac:dyDescent="0.25">
      <c r="U609" t="s">
        <v>3563</v>
      </c>
      <c r="Y609" t="s">
        <v>4554</v>
      </c>
      <c r="AG609" t="s">
        <v>5556</v>
      </c>
    </row>
    <row r="610" spans="21:33" x14ac:dyDescent="0.25">
      <c r="U610" t="s">
        <v>3564</v>
      </c>
      <c r="Y610" t="s">
        <v>4555</v>
      </c>
      <c r="AG610" t="s">
        <v>5557</v>
      </c>
    </row>
    <row r="611" spans="21:33" x14ac:dyDescent="0.25">
      <c r="U611" t="s">
        <v>3565</v>
      </c>
      <c r="Y611" t="s">
        <v>4556</v>
      </c>
      <c r="AG611" t="s">
        <v>5558</v>
      </c>
    </row>
    <row r="612" spans="21:33" x14ac:dyDescent="0.25">
      <c r="U612" t="s">
        <v>3566</v>
      </c>
      <c r="Y612" t="s">
        <v>4557</v>
      </c>
      <c r="AG612" t="s">
        <v>5559</v>
      </c>
    </row>
    <row r="613" spans="21:33" x14ac:dyDescent="0.25">
      <c r="U613" t="s">
        <v>3567</v>
      </c>
      <c r="Y613" t="s">
        <v>4558</v>
      </c>
      <c r="AG613" t="s">
        <v>5560</v>
      </c>
    </row>
    <row r="614" spans="21:33" x14ac:dyDescent="0.25">
      <c r="U614" t="s">
        <v>3568</v>
      </c>
      <c r="Y614" t="s">
        <v>4559</v>
      </c>
      <c r="AG614" t="s">
        <v>5561</v>
      </c>
    </row>
    <row r="615" spans="21:33" x14ac:dyDescent="0.25">
      <c r="U615" t="s">
        <v>3569</v>
      </c>
      <c r="Y615" t="s">
        <v>4560</v>
      </c>
      <c r="AG615" t="s">
        <v>5562</v>
      </c>
    </row>
    <row r="616" spans="21:33" x14ac:dyDescent="0.25">
      <c r="U616" t="s">
        <v>3570</v>
      </c>
      <c r="Y616" t="s">
        <v>4561</v>
      </c>
      <c r="AG616" t="s">
        <v>5563</v>
      </c>
    </row>
    <row r="617" spans="21:33" x14ac:dyDescent="0.25">
      <c r="U617" t="s">
        <v>3571</v>
      </c>
      <c r="Y617" t="s">
        <v>4562</v>
      </c>
      <c r="AG617" t="s">
        <v>5564</v>
      </c>
    </row>
    <row r="618" spans="21:33" x14ac:dyDescent="0.25">
      <c r="U618" t="s">
        <v>3572</v>
      </c>
      <c r="Y618" t="s">
        <v>4563</v>
      </c>
      <c r="AG618" t="s">
        <v>5565</v>
      </c>
    </row>
    <row r="619" spans="21:33" x14ac:dyDescent="0.25">
      <c r="U619" t="s">
        <v>3573</v>
      </c>
      <c r="Y619" t="s">
        <v>4564</v>
      </c>
      <c r="AG619" t="s">
        <v>5566</v>
      </c>
    </row>
    <row r="620" spans="21:33" x14ac:dyDescent="0.25">
      <c r="U620" t="s">
        <v>3574</v>
      </c>
      <c r="Y620" t="s">
        <v>4565</v>
      </c>
      <c r="AG620" t="s">
        <v>5567</v>
      </c>
    </row>
    <row r="621" spans="21:33" x14ac:dyDescent="0.25">
      <c r="U621" t="s">
        <v>3575</v>
      </c>
      <c r="Y621" t="s">
        <v>4566</v>
      </c>
      <c r="AG621" t="s">
        <v>5568</v>
      </c>
    </row>
    <row r="622" spans="21:33" x14ac:dyDescent="0.25">
      <c r="U622" t="s">
        <v>3576</v>
      </c>
      <c r="Y622" t="s">
        <v>4567</v>
      </c>
      <c r="AG622" t="s">
        <v>5569</v>
      </c>
    </row>
    <row r="623" spans="21:33" x14ac:dyDescent="0.25">
      <c r="U623" t="s">
        <v>3577</v>
      </c>
      <c r="Y623" t="s">
        <v>4568</v>
      </c>
      <c r="AG623" t="s">
        <v>5570</v>
      </c>
    </row>
    <row r="624" spans="21:33" x14ac:dyDescent="0.25">
      <c r="U624" t="s">
        <v>3578</v>
      </c>
      <c r="Y624" t="s">
        <v>4569</v>
      </c>
      <c r="AG624" t="s">
        <v>5571</v>
      </c>
    </row>
    <row r="625" spans="21:33" x14ac:dyDescent="0.25">
      <c r="U625" t="s">
        <v>3579</v>
      </c>
      <c r="Y625" t="s">
        <v>4570</v>
      </c>
      <c r="AG625" t="s">
        <v>5572</v>
      </c>
    </row>
    <row r="626" spans="21:33" x14ac:dyDescent="0.25">
      <c r="U626" t="s">
        <v>3580</v>
      </c>
      <c r="Y626" t="s">
        <v>4571</v>
      </c>
      <c r="AG626" t="s">
        <v>5573</v>
      </c>
    </row>
    <row r="627" spans="21:33" x14ac:dyDescent="0.25">
      <c r="U627" t="s">
        <v>3581</v>
      </c>
      <c r="Y627" t="s">
        <v>4572</v>
      </c>
      <c r="AG627" t="s">
        <v>5574</v>
      </c>
    </row>
    <row r="628" spans="21:33" x14ac:dyDescent="0.25">
      <c r="U628" t="s">
        <v>3582</v>
      </c>
      <c r="Y628" t="s">
        <v>4573</v>
      </c>
      <c r="AG628" t="s">
        <v>5575</v>
      </c>
    </row>
    <row r="629" spans="21:33" x14ac:dyDescent="0.25">
      <c r="U629" t="s">
        <v>3583</v>
      </c>
      <c r="Y629" t="s">
        <v>4574</v>
      </c>
      <c r="AG629" t="s">
        <v>5576</v>
      </c>
    </row>
    <row r="630" spans="21:33" x14ac:dyDescent="0.25">
      <c r="U630" t="s">
        <v>3584</v>
      </c>
      <c r="Y630" t="s">
        <v>4575</v>
      </c>
      <c r="AG630" t="s">
        <v>5577</v>
      </c>
    </row>
    <row r="631" spans="21:33" x14ac:dyDescent="0.25">
      <c r="U631" t="s">
        <v>3585</v>
      </c>
      <c r="Y631" t="s">
        <v>4576</v>
      </c>
      <c r="AG631" t="s">
        <v>5578</v>
      </c>
    </row>
    <row r="632" spans="21:33" x14ac:dyDescent="0.25">
      <c r="U632" t="s">
        <v>3586</v>
      </c>
      <c r="Y632" t="s">
        <v>4577</v>
      </c>
      <c r="AG632" t="s">
        <v>5579</v>
      </c>
    </row>
    <row r="633" spans="21:33" x14ac:dyDescent="0.25">
      <c r="U633" t="s">
        <v>3587</v>
      </c>
      <c r="Y633" t="s">
        <v>4578</v>
      </c>
      <c r="AG633" t="s">
        <v>5580</v>
      </c>
    </row>
    <row r="634" spans="21:33" x14ac:dyDescent="0.25">
      <c r="U634" t="s">
        <v>3588</v>
      </c>
      <c r="Y634" t="s">
        <v>4579</v>
      </c>
      <c r="AG634" t="s">
        <v>5581</v>
      </c>
    </row>
    <row r="635" spans="21:33" x14ac:dyDescent="0.25">
      <c r="U635" t="s">
        <v>3589</v>
      </c>
      <c r="Y635" t="s">
        <v>4580</v>
      </c>
      <c r="AG635" t="s">
        <v>5582</v>
      </c>
    </row>
    <row r="636" spans="21:33" x14ac:dyDescent="0.25">
      <c r="U636" t="s">
        <v>3590</v>
      </c>
      <c r="Y636" t="s">
        <v>4581</v>
      </c>
      <c r="AG636" t="s">
        <v>5583</v>
      </c>
    </row>
    <row r="637" spans="21:33" x14ac:dyDescent="0.25">
      <c r="U637" t="s">
        <v>3591</v>
      </c>
      <c r="Y637" t="s">
        <v>4582</v>
      </c>
      <c r="AG637" t="s">
        <v>5584</v>
      </c>
    </row>
    <row r="638" spans="21:33" x14ac:dyDescent="0.25">
      <c r="U638" t="s">
        <v>3592</v>
      </c>
      <c r="Y638" t="s">
        <v>4583</v>
      </c>
      <c r="AG638" t="s">
        <v>5585</v>
      </c>
    </row>
    <row r="639" spans="21:33" x14ac:dyDescent="0.25">
      <c r="U639" t="s">
        <v>3593</v>
      </c>
      <c r="Y639" t="s">
        <v>4584</v>
      </c>
      <c r="AG639" t="s">
        <v>5586</v>
      </c>
    </row>
    <row r="640" spans="21:33" x14ac:dyDescent="0.25">
      <c r="U640" t="s">
        <v>3594</v>
      </c>
      <c r="Y640" t="s">
        <v>4585</v>
      </c>
      <c r="AG640" t="s">
        <v>5587</v>
      </c>
    </row>
    <row r="641" spans="21:33" x14ac:dyDescent="0.25">
      <c r="U641" t="s">
        <v>3595</v>
      </c>
      <c r="Y641" t="s">
        <v>4586</v>
      </c>
      <c r="AG641" t="s">
        <v>5588</v>
      </c>
    </row>
    <row r="642" spans="21:33" x14ac:dyDescent="0.25">
      <c r="U642" t="s">
        <v>3596</v>
      </c>
      <c r="Y642" t="s">
        <v>4587</v>
      </c>
      <c r="AG642" t="s">
        <v>5589</v>
      </c>
    </row>
    <row r="643" spans="21:33" x14ac:dyDescent="0.25">
      <c r="U643" t="s">
        <v>3597</v>
      </c>
      <c r="Y643" t="s">
        <v>4588</v>
      </c>
      <c r="AG643" t="s">
        <v>5590</v>
      </c>
    </row>
    <row r="644" spans="21:33" x14ac:dyDescent="0.25">
      <c r="U644" t="s">
        <v>3598</v>
      </c>
      <c r="Y644" t="s">
        <v>4589</v>
      </c>
      <c r="AG644" t="s">
        <v>4184</v>
      </c>
    </row>
    <row r="645" spans="21:33" x14ac:dyDescent="0.25">
      <c r="U645" t="s">
        <v>3599</v>
      </c>
      <c r="Y645" t="s">
        <v>4590</v>
      </c>
      <c r="AG645" t="s">
        <v>5591</v>
      </c>
    </row>
    <row r="646" spans="21:33" x14ac:dyDescent="0.25">
      <c r="U646" t="s">
        <v>3600</v>
      </c>
      <c r="Y646" t="s">
        <v>4591</v>
      </c>
      <c r="AG646" t="s">
        <v>5592</v>
      </c>
    </row>
    <row r="647" spans="21:33" x14ac:dyDescent="0.25">
      <c r="U647" t="s">
        <v>3601</v>
      </c>
      <c r="Y647" t="s">
        <v>4592</v>
      </c>
      <c r="AG647" t="s">
        <v>5593</v>
      </c>
    </row>
    <row r="648" spans="21:33" x14ac:dyDescent="0.25">
      <c r="U648" t="s">
        <v>3602</v>
      </c>
      <c r="Y648" t="s">
        <v>4593</v>
      </c>
      <c r="AG648" t="s">
        <v>4584</v>
      </c>
    </row>
    <row r="649" spans="21:33" x14ac:dyDescent="0.25">
      <c r="U649" t="s">
        <v>3603</v>
      </c>
      <c r="Y649" t="s">
        <v>4594</v>
      </c>
      <c r="AG649" t="s">
        <v>5594</v>
      </c>
    </row>
    <row r="650" spans="21:33" x14ac:dyDescent="0.25">
      <c r="U650" t="s">
        <v>3604</v>
      </c>
      <c r="Y650" t="s">
        <v>4595</v>
      </c>
      <c r="AG650" t="s">
        <v>5595</v>
      </c>
    </row>
    <row r="651" spans="21:33" x14ac:dyDescent="0.25">
      <c r="U651" t="s">
        <v>3605</v>
      </c>
      <c r="Y651" t="s">
        <v>4596</v>
      </c>
      <c r="AG651" t="s">
        <v>5596</v>
      </c>
    </row>
    <row r="652" spans="21:33" x14ac:dyDescent="0.25">
      <c r="U652" t="s">
        <v>3606</v>
      </c>
      <c r="Y652" t="s">
        <v>4597</v>
      </c>
      <c r="AG652" t="s">
        <v>5597</v>
      </c>
    </row>
    <row r="653" spans="21:33" x14ac:dyDescent="0.25">
      <c r="U653" t="s">
        <v>3607</v>
      </c>
      <c r="Y653" t="s">
        <v>4598</v>
      </c>
      <c r="AG653" t="s">
        <v>5598</v>
      </c>
    </row>
    <row r="654" spans="21:33" x14ac:dyDescent="0.25">
      <c r="U654" t="s">
        <v>3608</v>
      </c>
      <c r="Y654" t="s">
        <v>4599</v>
      </c>
      <c r="AG654" t="s">
        <v>5599</v>
      </c>
    </row>
    <row r="655" spans="21:33" x14ac:dyDescent="0.25">
      <c r="U655" t="s">
        <v>3609</v>
      </c>
      <c r="Y655" t="s">
        <v>4600</v>
      </c>
      <c r="AG655" t="s">
        <v>2974</v>
      </c>
    </row>
    <row r="656" spans="21:33" x14ac:dyDescent="0.25">
      <c r="U656" t="s">
        <v>3610</v>
      </c>
      <c r="Y656" t="s">
        <v>4601</v>
      </c>
      <c r="AG656" t="s">
        <v>5600</v>
      </c>
    </row>
    <row r="657" spans="21:33" x14ac:dyDescent="0.25">
      <c r="U657" t="s">
        <v>3611</v>
      </c>
      <c r="Y657" t="s">
        <v>4602</v>
      </c>
      <c r="AG657" t="s">
        <v>3969</v>
      </c>
    </row>
    <row r="658" spans="21:33" x14ac:dyDescent="0.25">
      <c r="U658" t="s">
        <v>3612</v>
      </c>
      <c r="Y658" t="s">
        <v>4603</v>
      </c>
      <c r="AG658" t="s">
        <v>5601</v>
      </c>
    </row>
    <row r="659" spans="21:33" x14ac:dyDescent="0.25">
      <c r="U659" t="s">
        <v>3613</v>
      </c>
      <c r="Y659" t="s">
        <v>4604</v>
      </c>
      <c r="AG659" t="s">
        <v>2982</v>
      </c>
    </row>
    <row r="660" spans="21:33" x14ac:dyDescent="0.25">
      <c r="U660" t="s">
        <v>3614</v>
      </c>
      <c r="Y660" t="s">
        <v>4605</v>
      </c>
      <c r="AG660" t="s">
        <v>5602</v>
      </c>
    </row>
    <row r="661" spans="21:33" x14ac:dyDescent="0.25">
      <c r="U661" t="s">
        <v>3615</v>
      </c>
      <c r="Y661" t="s">
        <v>4606</v>
      </c>
      <c r="AG661" t="s">
        <v>3977</v>
      </c>
    </row>
    <row r="662" spans="21:33" x14ac:dyDescent="0.25">
      <c r="U662" t="s">
        <v>3616</v>
      </c>
      <c r="Y662" t="s">
        <v>4607</v>
      </c>
      <c r="AG662" t="s">
        <v>5603</v>
      </c>
    </row>
    <row r="663" spans="21:33" x14ac:dyDescent="0.25">
      <c r="U663" t="s">
        <v>3617</v>
      </c>
      <c r="Y663" t="s">
        <v>4608</v>
      </c>
      <c r="AG663" t="s">
        <v>2990</v>
      </c>
    </row>
    <row r="664" spans="21:33" x14ac:dyDescent="0.25">
      <c r="U664" t="s">
        <v>3618</v>
      </c>
      <c r="Y664" t="s">
        <v>4609</v>
      </c>
      <c r="AG664" t="s">
        <v>5045</v>
      </c>
    </row>
    <row r="665" spans="21:33" x14ac:dyDescent="0.25">
      <c r="U665" t="s">
        <v>3619</v>
      </c>
      <c r="Y665" t="s">
        <v>4610</v>
      </c>
      <c r="AG665" t="s">
        <v>3985</v>
      </c>
    </row>
    <row r="666" spans="21:33" x14ac:dyDescent="0.25">
      <c r="U666" t="s">
        <v>3620</v>
      </c>
      <c r="Y666" t="s">
        <v>4611</v>
      </c>
      <c r="AG666" t="s">
        <v>5604</v>
      </c>
    </row>
    <row r="667" spans="21:33" x14ac:dyDescent="0.25">
      <c r="U667" t="s">
        <v>3621</v>
      </c>
      <c r="Y667" t="s">
        <v>4612</v>
      </c>
      <c r="AG667" t="s">
        <v>2998</v>
      </c>
    </row>
    <row r="668" spans="21:33" x14ac:dyDescent="0.25">
      <c r="U668" t="s">
        <v>3622</v>
      </c>
      <c r="Y668" t="s">
        <v>4613</v>
      </c>
      <c r="AG668" t="s">
        <v>5605</v>
      </c>
    </row>
    <row r="669" spans="21:33" x14ac:dyDescent="0.25">
      <c r="U669" t="s">
        <v>3623</v>
      </c>
      <c r="Y669" t="s">
        <v>4614</v>
      </c>
      <c r="AG669" t="s">
        <v>3993</v>
      </c>
    </row>
    <row r="670" spans="21:33" x14ac:dyDescent="0.25">
      <c r="U670" t="s">
        <v>3624</v>
      </c>
      <c r="Y670" t="s">
        <v>4615</v>
      </c>
      <c r="AG670" t="s">
        <v>5606</v>
      </c>
    </row>
    <row r="671" spans="21:33" x14ac:dyDescent="0.25">
      <c r="U671" t="s">
        <v>3625</v>
      </c>
      <c r="Y671" t="s">
        <v>4616</v>
      </c>
      <c r="AG671" t="s">
        <v>3006</v>
      </c>
    </row>
    <row r="672" spans="21:33" x14ac:dyDescent="0.25">
      <c r="U672" t="s">
        <v>3626</v>
      </c>
      <c r="Y672" t="s">
        <v>4617</v>
      </c>
      <c r="AG672" t="s">
        <v>5607</v>
      </c>
    </row>
    <row r="673" spans="21:33" x14ac:dyDescent="0.25">
      <c r="U673" t="s">
        <v>3627</v>
      </c>
      <c r="Y673" t="s">
        <v>4618</v>
      </c>
      <c r="AG673" t="s">
        <v>4001</v>
      </c>
    </row>
    <row r="674" spans="21:33" x14ac:dyDescent="0.25">
      <c r="U674" t="s">
        <v>3628</v>
      </c>
      <c r="Y674" t="s">
        <v>4619</v>
      </c>
      <c r="AG674" t="s">
        <v>5608</v>
      </c>
    </row>
    <row r="675" spans="21:33" x14ac:dyDescent="0.25">
      <c r="U675" t="s">
        <v>3629</v>
      </c>
      <c r="Y675" t="s">
        <v>4620</v>
      </c>
      <c r="AG675" t="s">
        <v>3014</v>
      </c>
    </row>
    <row r="676" spans="21:33" x14ac:dyDescent="0.25">
      <c r="U676" t="s">
        <v>3630</v>
      </c>
      <c r="Y676" t="s">
        <v>4621</v>
      </c>
      <c r="AG676" t="s">
        <v>5609</v>
      </c>
    </row>
    <row r="677" spans="21:33" x14ac:dyDescent="0.25">
      <c r="U677" t="s">
        <v>3631</v>
      </c>
      <c r="Y677" t="s">
        <v>4622</v>
      </c>
      <c r="AG677" t="s">
        <v>4009</v>
      </c>
    </row>
    <row r="678" spans="21:33" x14ac:dyDescent="0.25">
      <c r="U678" t="s">
        <v>3632</v>
      </c>
      <c r="Y678" t="s">
        <v>4623</v>
      </c>
      <c r="AG678" t="s">
        <v>5610</v>
      </c>
    </row>
    <row r="679" spans="21:33" x14ac:dyDescent="0.25">
      <c r="U679" t="s">
        <v>3633</v>
      </c>
      <c r="Y679" t="s">
        <v>4624</v>
      </c>
      <c r="AG679" t="s">
        <v>3022</v>
      </c>
    </row>
    <row r="680" spans="21:33" x14ac:dyDescent="0.25">
      <c r="U680" t="s">
        <v>3634</v>
      </c>
      <c r="Y680" t="s">
        <v>4625</v>
      </c>
      <c r="AG680" t="s">
        <v>5611</v>
      </c>
    </row>
    <row r="681" spans="21:33" x14ac:dyDescent="0.25">
      <c r="U681" t="s">
        <v>3635</v>
      </c>
      <c r="Y681" t="s">
        <v>4626</v>
      </c>
      <c r="AG681" t="s">
        <v>4017</v>
      </c>
    </row>
    <row r="682" spans="21:33" x14ac:dyDescent="0.25">
      <c r="U682" t="s">
        <v>3636</v>
      </c>
      <c r="Y682" t="s">
        <v>4627</v>
      </c>
      <c r="AG682" t="s">
        <v>5612</v>
      </c>
    </row>
    <row r="683" spans="21:33" x14ac:dyDescent="0.25">
      <c r="U683" t="s">
        <v>3637</v>
      </c>
      <c r="Y683" t="s">
        <v>4628</v>
      </c>
      <c r="AG683" t="s">
        <v>3030</v>
      </c>
    </row>
    <row r="684" spans="21:33" x14ac:dyDescent="0.25">
      <c r="U684" t="s">
        <v>3638</v>
      </c>
      <c r="Y684" t="s">
        <v>4629</v>
      </c>
      <c r="AG684" t="s">
        <v>5551</v>
      </c>
    </row>
    <row r="685" spans="21:33" x14ac:dyDescent="0.25">
      <c r="U685" t="s">
        <v>3639</v>
      </c>
      <c r="Y685" t="s">
        <v>4630</v>
      </c>
      <c r="AG685" t="s">
        <v>4025</v>
      </c>
    </row>
    <row r="686" spans="21:33" x14ac:dyDescent="0.25">
      <c r="U686" t="s">
        <v>3640</v>
      </c>
      <c r="Y686" t="s">
        <v>4631</v>
      </c>
      <c r="AG686" t="s">
        <v>5613</v>
      </c>
    </row>
    <row r="687" spans="21:33" x14ac:dyDescent="0.25">
      <c r="U687" t="s">
        <v>3641</v>
      </c>
      <c r="Y687" t="s">
        <v>4632</v>
      </c>
      <c r="AG687" t="s">
        <v>3038</v>
      </c>
    </row>
    <row r="688" spans="21:33" x14ac:dyDescent="0.25">
      <c r="U688" t="s">
        <v>3642</v>
      </c>
      <c r="Y688" t="s">
        <v>4633</v>
      </c>
      <c r="AG688" t="s">
        <v>5614</v>
      </c>
    </row>
    <row r="689" spans="21:33" x14ac:dyDescent="0.25">
      <c r="U689" t="s">
        <v>3643</v>
      </c>
      <c r="Y689" t="s">
        <v>4634</v>
      </c>
      <c r="AG689" t="s">
        <v>4033</v>
      </c>
    </row>
    <row r="690" spans="21:33" x14ac:dyDescent="0.25">
      <c r="U690" t="s">
        <v>3644</v>
      </c>
      <c r="Y690" t="s">
        <v>4635</v>
      </c>
      <c r="AG690" t="s">
        <v>5615</v>
      </c>
    </row>
    <row r="691" spans="21:33" x14ac:dyDescent="0.25">
      <c r="U691" t="s">
        <v>3645</v>
      </c>
      <c r="Y691" t="s">
        <v>4636</v>
      </c>
      <c r="AG691" t="s">
        <v>3046</v>
      </c>
    </row>
    <row r="692" spans="21:33" x14ac:dyDescent="0.25">
      <c r="U692" t="s">
        <v>3646</v>
      </c>
      <c r="Y692" t="s">
        <v>4637</v>
      </c>
      <c r="AG692" t="s">
        <v>5616</v>
      </c>
    </row>
    <row r="693" spans="21:33" x14ac:dyDescent="0.25">
      <c r="U693" t="s">
        <v>3647</v>
      </c>
      <c r="Y693" t="s">
        <v>4638</v>
      </c>
      <c r="AG693" t="s">
        <v>4041</v>
      </c>
    </row>
    <row r="694" spans="21:33" x14ac:dyDescent="0.25">
      <c r="U694" t="s">
        <v>3648</v>
      </c>
      <c r="Y694" t="s">
        <v>4639</v>
      </c>
      <c r="AG694" t="s">
        <v>5617</v>
      </c>
    </row>
    <row r="695" spans="21:33" x14ac:dyDescent="0.25">
      <c r="U695" t="s">
        <v>3649</v>
      </c>
      <c r="Y695" t="s">
        <v>4640</v>
      </c>
      <c r="AG695" t="s">
        <v>3054</v>
      </c>
    </row>
    <row r="696" spans="21:33" x14ac:dyDescent="0.25">
      <c r="U696" t="s">
        <v>3650</v>
      </c>
      <c r="Y696" t="s">
        <v>4641</v>
      </c>
      <c r="AG696" t="s">
        <v>5618</v>
      </c>
    </row>
    <row r="697" spans="21:33" x14ac:dyDescent="0.25">
      <c r="U697" t="s">
        <v>3651</v>
      </c>
      <c r="Y697" t="s">
        <v>4642</v>
      </c>
      <c r="AG697" t="s">
        <v>4049</v>
      </c>
    </row>
    <row r="698" spans="21:33" x14ac:dyDescent="0.25">
      <c r="U698" t="s">
        <v>3652</v>
      </c>
      <c r="Y698" t="s">
        <v>4643</v>
      </c>
      <c r="AG698" t="s">
        <v>5619</v>
      </c>
    </row>
    <row r="699" spans="21:33" x14ac:dyDescent="0.25">
      <c r="U699" t="s">
        <v>3653</v>
      </c>
      <c r="Y699" t="s">
        <v>4644</v>
      </c>
      <c r="AG699" t="s">
        <v>3062</v>
      </c>
    </row>
    <row r="700" spans="21:33" x14ac:dyDescent="0.25">
      <c r="U700" t="s">
        <v>3654</v>
      </c>
      <c r="Y700" t="s">
        <v>4645</v>
      </c>
      <c r="AG700" t="s">
        <v>5620</v>
      </c>
    </row>
    <row r="701" spans="21:33" x14ac:dyDescent="0.25">
      <c r="U701" t="s">
        <v>3655</v>
      </c>
      <c r="Y701" t="s">
        <v>4646</v>
      </c>
      <c r="AG701" t="s">
        <v>4057</v>
      </c>
    </row>
    <row r="702" spans="21:33" x14ac:dyDescent="0.25">
      <c r="U702" t="s">
        <v>3656</v>
      </c>
      <c r="Y702" t="s">
        <v>4647</v>
      </c>
      <c r="AG702" t="s">
        <v>5621</v>
      </c>
    </row>
    <row r="703" spans="21:33" x14ac:dyDescent="0.25">
      <c r="U703" t="s">
        <v>3657</v>
      </c>
      <c r="Y703" t="s">
        <v>4648</v>
      </c>
      <c r="AG703" t="s">
        <v>3070</v>
      </c>
    </row>
    <row r="704" spans="21:33" x14ac:dyDescent="0.25">
      <c r="U704" t="s">
        <v>3658</v>
      </c>
      <c r="Y704" t="s">
        <v>4649</v>
      </c>
      <c r="AG704" t="s">
        <v>5622</v>
      </c>
    </row>
    <row r="705" spans="21:33" x14ac:dyDescent="0.25">
      <c r="U705" t="s">
        <v>3659</v>
      </c>
      <c r="Y705" t="s">
        <v>4650</v>
      </c>
      <c r="AG705" t="s">
        <v>4065</v>
      </c>
    </row>
    <row r="706" spans="21:33" x14ac:dyDescent="0.25">
      <c r="U706" t="s">
        <v>3660</v>
      </c>
      <c r="Y706" t="s">
        <v>4651</v>
      </c>
      <c r="AG706" t="s">
        <v>5623</v>
      </c>
    </row>
    <row r="707" spans="21:33" x14ac:dyDescent="0.25">
      <c r="U707" t="s">
        <v>3661</v>
      </c>
      <c r="Y707" t="s">
        <v>4652</v>
      </c>
      <c r="AG707" t="s">
        <v>3078</v>
      </c>
    </row>
    <row r="708" spans="21:33" x14ac:dyDescent="0.25">
      <c r="U708" t="s">
        <v>3662</v>
      </c>
      <c r="Y708" t="s">
        <v>4653</v>
      </c>
      <c r="AG708" t="s">
        <v>5624</v>
      </c>
    </row>
    <row r="709" spans="21:33" x14ac:dyDescent="0.25">
      <c r="U709" t="s">
        <v>3663</v>
      </c>
      <c r="Y709" t="s">
        <v>4654</v>
      </c>
      <c r="AG709" t="s">
        <v>4073</v>
      </c>
    </row>
    <row r="710" spans="21:33" x14ac:dyDescent="0.25">
      <c r="U710" t="s">
        <v>3664</v>
      </c>
      <c r="Y710" t="s">
        <v>4655</v>
      </c>
      <c r="AG710" t="s">
        <v>5625</v>
      </c>
    </row>
    <row r="711" spans="21:33" x14ac:dyDescent="0.25">
      <c r="U711" t="s">
        <v>3665</v>
      </c>
      <c r="Y711" t="s">
        <v>4656</v>
      </c>
      <c r="AG711" t="s">
        <v>3086</v>
      </c>
    </row>
    <row r="712" spans="21:33" x14ac:dyDescent="0.25">
      <c r="U712" t="s">
        <v>3666</v>
      </c>
      <c r="Y712" t="s">
        <v>4657</v>
      </c>
      <c r="AG712" t="s">
        <v>5626</v>
      </c>
    </row>
    <row r="713" spans="21:33" x14ac:dyDescent="0.25">
      <c r="U713" t="s">
        <v>3667</v>
      </c>
      <c r="Y713" t="s">
        <v>4658</v>
      </c>
      <c r="AG713" t="s">
        <v>4081</v>
      </c>
    </row>
    <row r="714" spans="21:33" x14ac:dyDescent="0.25">
      <c r="U714" t="s">
        <v>3668</v>
      </c>
      <c r="Y714" t="s">
        <v>4659</v>
      </c>
      <c r="AG714" t="s">
        <v>5627</v>
      </c>
    </row>
    <row r="715" spans="21:33" x14ac:dyDescent="0.25">
      <c r="U715" t="s">
        <v>3669</v>
      </c>
      <c r="Y715" t="s">
        <v>4660</v>
      </c>
      <c r="AG715" t="s">
        <v>3094</v>
      </c>
    </row>
    <row r="716" spans="21:33" x14ac:dyDescent="0.25">
      <c r="U716" t="s">
        <v>3670</v>
      </c>
      <c r="Y716" t="s">
        <v>4661</v>
      </c>
      <c r="AG716" t="s">
        <v>5628</v>
      </c>
    </row>
    <row r="717" spans="21:33" x14ac:dyDescent="0.25">
      <c r="U717" t="s">
        <v>3671</v>
      </c>
      <c r="Y717" t="s">
        <v>4662</v>
      </c>
      <c r="AG717" t="s">
        <v>4089</v>
      </c>
    </row>
    <row r="718" spans="21:33" x14ac:dyDescent="0.25">
      <c r="U718" t="s">
        <v>3672</v>
      </c>
      <c r="Y718" t="s">
        <v>4663</v>
      </c>
      <c r="AG718" t="s">
        <v>5629</v>
      </c>
    </row>
    <row r="719" spans="21:33" x14ac:dyDescent="0.25">
      <c r="U719" t="s">
        <v>3673</v>
      </c>
      <c r="Y719" t="s">
        <v>4664</v>
      </c>
      <c r="AG719" t="s">
        <v>3102</v>
      </c>
    </row>
    <row r="720" spans="21:33" x14ac:dyDescent="0.25">
      <c r="U720" t="s">
        <v>3674</v>
      </c>
      <c r="Y720" t="s">
        <v>4665</v>
      </c>
      <c r="AG720" t="s">
        <v>5630</v>
      </c>
    </row>
    <row r="721" spans="21:33" x14ac:dyDescent="0.25">
      <c r="U721" t="s">
        <v>3675</v>
      </c>
      <c r="Y721" t="s">
        <v>4666</v>
      </c>
      <c r="AG721" t="s">
        <v>4097</v>
      </c>
    </row>
    <row r="722" spans="21:33" x14ac:dyDescent="0.25">
      <c r="U722" t="s">
        <v>3676</v>
      </c>
      <c r="Y722" t="s">
        <v>4667</v>
      </c>
      <c r="AG722" t="s">
        <v>5631</v>
      </c>
    </row>
    <row r="723" spans="21:33" x14ac:dyDescent="0.25">
      <c r="U723" t="s">
        <v>3677</v>
      </c>
      <c r="Y723" t="s">
        <v>4668</v>
      </c>
      <c r="AG723" t="s">
        <v>3110</v>
      </c>
    </row>
    <row r="724" spans="21:33" x14ac:dyDescent="0.25">
      <c r="U724" t="s">
        <v>3678</v>
      </c>
      <c r="Y724" t="s">
        <v>4669</v>
      </c>
      <c r="AG724" t="s">
        <v>5555</v>
      </c>
    </row>
    <row r="725" spans="21:33" x14ac:dyDescent="0.25">
      <c r="U725" t="s">
        <v>3679</v>
      </c>
      <c r="Y725" t="s">
        <v>4670</v>
      </c>
      <c r="AG725" t="s">
        <v>4105</v>
      </c>
    </row>
    <row r="726" spans="21:33" x14ac:dyDescent="0.25">
      <c r="U726" t="s">
        <v>3680</v>
      </c>
      <c r="Y726" t="s">
        <v>4671</v>
      </c>
      <c r="AG726" t="s">
        <v>5632</v>
      </c>
    </row>
    <row r="727" spans="21:33" x14ac:dyDescent="0.25">
      <c r="U727" t="s">
        <v>3681</v>
      </c>
      <c r="Y727" t="s">
        <v>4672</v>
      </c>
      <c r="AG727" t="s">
        <v>3118</v>
      </c>
    </row>
    <row r="728" spans="21:33" x14ac:dyDescent="0.25">
      <c r="U728" t="s">
        <v>3682</v>
      </c>
      <c r="Y728" t="s">
        <v>4673</v>
      </c>
      <c r="AG728" t="s">
        <v>5633</v>
      </c>
    </row>
    <row r="729" spans="21:33" x14ac:dyDescent="0.25">
      <c r="U729" t="s">
        <v>3683</v>
      </c>
      <c r="Y729" t="s">
        <v>4674</v>
      </c>
      <c r="AG729" t="s">
        <v>4113</v>
      </c>
    </row>
    <row r="730" spans="21:33" x14ac:dyDescent="0.25">
      <c r="U730" t="s">
        <v>3684</v>
      </c>
      <c r="Y730" t="s">
        <v>4675</v>
      </c>
      <c r="AG730" t="s">
        <v>5634</v>
      </c>
    </row>
    <row r="731" spans="21:33" x14ac:dyDescent="0.25">
      <c r="U731" t="s">
        <v>3685</v>
      </c>
      <c r="Y731" t="s">
        <v>4676</v>
      </c>
      <c r="AG731" t="s">
        <v>3126</v>
      </c>
    </row>
    <row r="732" spans="21:33" x14ac:dyDescent="0.25">
      <c r="U732" t="s">
        <v>3686</v>
      </c>
      <c r="Y732" t="s">
        <v>4677</v>
      </c>
      <c r="AG732" t="s">
        <v>5635</v>
      </c>
    </row>
    <row r="733" spans="21:33" x14ac:dyDescent="0.25">
      <c r="U733" t="s">
        <v>3687</v>
      </c>
      <c r="Y733" t="s">
        <v>4678</v>
      </c>
      <c r="AG733" t="s">
        <v>4121</v>
      </c>
    </row>
    <row r="734" spans="21:33" x14ac:dyDescent="0.25">
      <c r="U734" t="s">
        <v>3688</v>
      </c>
      <c r="Y734" t="s">
        <v>4679</v>
      </c>
      <c r="AG734" t="s">
        <v>5636</v>
      </c>
    </row>
    <row r="735" spans="21:33" x14ac:dyDescent="0.25">
      <c r="U735" t="s">
        <v>3689</v>
      </c>
      <c r="Y735" t="s">
        <v>4680</v>
      </c>
      <c r="AG735" t="s">
        <v>3134</v>
      </c>
    </row>
    <row r="736" spans="21:33" x14ac:dyDescent="0.25">
      <c r="U736" t="s">
        <v>3690</v>
      </c>
      <c r="Y736" t="s">
        <v>4681</v>
      </c>
      <c r="AG736" t="s">
        <v>5637</v>
      </c>
    </row>
    <row r="737" spans="21:33" x14ac:dyDescent="0.25">
      <c r="U737" t="s">
        <v>3691</v>
      </c>
      <c r="Y737" t="s">
        <v>4682</v>
      </c>
      <c r="AG737" t="s">
        <v>4129</v>
      </c>
    </row>
    <row r="738" spans="21:33" x14ac:dyDescent="0.25">
      <c r="U738" t="s">
        <v>3692</v>
      </c>
      <c r="Y738" t="s">
        <v>4683</v>
      </c>
      <c r="AG738" t="s">
        <v>5638</v>
      </c>
    </row>
    <row r="739" spans="21:33" x14ac:dyDescent="0.25">
      <c r="U739" t="s">
        <v>3693</v>
      </c>
      <c r="Y739" t="s">
        <v>4684</v>
      </c>
      <c r="AG739" t="s">
        <v>3142</v>
      </c>
    </row>
    <row r="740" spans="21:33" x14ac:dyDescent="0.25">
      <c r="U740" t="s">
        <v>3694</v>
      </c>
      <c r="Y740" t="s">
        <v>4685</v>
      </c>
      <c r="AG740" t="s">
        <v>5639</v>
      </c>
    </row>
    <row r="741" spans="21:33" x14ac:dyDescent="0.25">
      <c r="U741" t="s">
        <v>3695</v>
      </c>
      <c r="Y741" t="s">
        <v>4686</v>
      </c>
      <c r="AG741" t="s">
        <v>4137</v>
      </c>
    </row>
    <row r="742" spans="21:33" x14ac:dyDescent="0.25">
      <c r="U742" t="s">
        <v>3696</v>
      </c>
      <c r="Y742" t="s">
        <v>4687</v>
      </c>
      <c r="AG742" t="s">
        <v>5640</v>
      </c>
    </row>
    <row r="743" spans="21:33" x14ac:dyDescent="0.25">
      <c r="U743" t="s">
        <v>3697</v>
      </c>
      <c r="Y743" t="s">
        <v>4688</v>
      </c>
      <c r="AG743" t="s">
        <v>3150</v>
      </c>
    </row>
    <row r="744" spans="21:33" x14ac:dyDescent="0.25">
      <c r="U744" t="s">
        <v>3698</v>
      </c>
      <c r="Y744" t="s">
        <v>4689</v>
      </c>
      <c r="AG744" t="s">
        <v>5641</v>
      </c>
    </row>
    <row r="745" spans="21:33" x14ac:dyDescent="0.25">
      <c r="U745" t="s">
        <v>3699</v>
      </c>
      <c r="Y745" t="s">
        <v>4690</v>
      </c>
      <c r="AG745" t="s">
        <v>4145</v>
      </c>
    </row>
    <row r="746" spans="21:33" x14ac:dyDescent="0.25">
      <c r="U746" t="s">
        <v>3700</v>
      </c>
      <c r="Y746" t="s">
        <v>4691</v>
      </c>
      <c r="AG746" t="s">
        <v>5642</v>
      </c>
    </row>
    <row r="747" spans="21:33" x14ac:dyDescent="0.25">
      <c r="U747" t="s">
        <v>3701</v>
      </c>
      <c r="Y747" t="s">
        <v>4692</v>
      </c>
      <c r="AG747" t="s">
        <v>3158</v>
      </c>
    </row>
    <row r="748" spans="21:33" x14ac:dyDescent="0.25">
      <c r="U748" t="s">
        <v>3702</v>
      </c>
      <c r="Y748" t="s">
        <v>4693</v>
      </c>
      <c r="AG748" t="s">
        <v>5643</v>
      </c>
    </row>
    <row r="749" spans="21:33" x14ac:dyDescent="0.25">
      <c r="U749" t="s">
        <v>3703</v>
      </c>
      <c r="Y749" t="s">
        <v>4694</v>
      </c>
      <c r="AG749" t="s">
        <v>4153</v>
      </c>
    </row>
    <row r="750" spans="21:33" x14ac:dyDescent="0.25">
      <c r="U750" t="s">
        <v>3704</v>
      </c>
      <c r="Y750" t="s">
        <v>4695</v>
      </c>
      <c r="AG750" t="s">
        <v>5644</v>
      </c>
    </row>
    <row r="751" spans="21:33" x14ac:dyDescent="0.25">
      <c r="U751" t="s">
        <v>3705</v>
      </c>
      <c r="Y751" t="s">
        <v>4696</v>
      </c>
      <c r="AG751" t="s">
        <v>3166</v>
      </c>
    </row>
    <row r="752" spans="21:33" x14ac:dyDescent="0.25">
      <c r="U752" t="s">
        <v>3706</v>
      </c>
      <c r="Y752" t="s">
        <v>4697</v>
      </c>
      <c r="AG752" t="s">
        <v>5645</v>
      </c>
    </row>
    <row r="753" spans="21:33" x14ac:dyDescent="0.25">
      <c r="U753" t="s">
        <v>3707</v>
      </c>
      <c r="Y753" t="s">
        <v>4698</v>
      </c>
      <c r="AG753" t="s">
        <v>4161</v>
      </c>
    </row>
    <row r="754" spans="21:33" x14ac:dyDescent="0.25">
      <c r="U754" t="s">
        <v>3708</v>
      </c>
      <c r="Y754" t="s">
        <v>4699</v>
      </c>
      <c r="AG754" t="s">
        <v>5646</v>
      </c>
    </row>
    <row r="755" spans="21:33" x14ac:dyDescent="0.25">
      <c r="U755" t="s">
        <v>3709</v>
      </c>
      <c r="Y755" t="s">
        <v>4700</v>
      </c>
      <c r="AG755" t="s">
        <v>3174</v>
      </c>
    </row>
    <row r="756" spans="21:33" x14ac:dyDescent="0.25">
      <c r="U756" t="s">
        <v>3710</v>
      </c>
      <c r="Y756" t="s">
        <v>4701</v>
      </c>
      <c r="AG756" t="s">
        <v>5647</v>
      </c>
    </row>
    <row r="757" spans="21:33" x14ac:dyDescent="0.25">
      <c r="U757" t="s">
        <v>3711</v>
      </c>
      <c r="Y757" t="s">
        <v>4702</v>
      </c>
      <c r="AG757" t="s">
        <v>4169</v>
      </c>
    </row>
    <row r="758" spans="21:33" x14ac:dyDescent="0.25">
      <c r="U758" t="s">
        <v>3712</v>
      </c>
      <c r="Y758" t="s">
        <v>4703</v>
      </c>
      <c r="AG758" t="s">
        <v>5648</v>
      </c>
    </row>
    <row r="759" spans="21:33" x14ac:dyDescent="0.25">
      <c r="U759" t="s">
        <v>3713</v>
      </c>
      <c r="Y759" t="s">
        <v>4704</v>
      </c>
      <c r="AG759" t="s">
        <v>3182</v>
      </c>
    </row>
    <row r="760" spans="21:33" x14ac:dyDescent="0.25">
      <c r="U760" t="s">
        <v>3714</v>
      </c>
      <c r="Y760" t="s">
        <v>4705</v>
      </c>
      <c r="AG760" t="s">
        <v>5649</v>
      </c>
    </row>
    <row r="761" spans="21:33" x14ac:dyDescent="0.25">
      <c r="U761" t="s">
        <v>3715</v>
      </c>
      <c r="Y761" t="s">
        <v>4706</v>
      </c>
      <c r="AG761" t="s">
        <v>4177</v>
      </c>
    </row>
    <row r="762" spans="21:33" x14ac:dyDescent="0.25">
      <c r="U762" t="s">
        <v>3716</v>
      </c>
      <c r="Y762" t="s">
        <v>4707</v>
      </c>
      <c r="AG762" t="s">
        <v>5650</v>
      </c>
    </row>
    <row r="763" spans="21:33" x14ac:dyDescent="0.25">
      <c r="U763" t="s">
        <v>3717</v>
      </c>
      <c r="Y763" t="s">
        <v>4708</v>
      </c>
      <c r="AG763" t="s">
        <v>3190</v>
      </c>
    </row>
    <row r="764" spans="21:33" x14ac:dyDescent="0.25">
      <c r="U764" t="s">
        <v>3718</v>
      </c>
      <c r="Y764" t="s">
        <v>4709</v>
      </c>
      <c r="AG764" t="s">
        <v>5559</v>
      </c>
    </row>
    <row r="765" spans="21:33" x14ac:dyDescent="0.25">
      <c r="U765" t="s">
        <v>3719</v>
      </c>
      <c r="Y765" t="s">
        <v>4710</v>
      </c>
      <c r="AG765" t="s">
        <v>4185</v>
      </c>
    </row>
    <row r="766" spans="21:33" x14ac:dyDescent="0.25">
      <c r="U766" t="s">
        <v>3720</v>
      </c>
      <c r="Y766" t="s">
        <v>4711</v>
      </c>
      <c r="AG766" t="s">
        <v>5651</v>
      </c>
    </row>
    <row r="767" spans="21:33" x14ac:dyDescent="0.25">
      <c r="U767" t="s">
        <v>3721</v>
      </c>
      <c r="Y767" t="s">
        <v>4712</v>
      </c>
      <c r="AG767" t="s">
        <v>3198</v>
      </c>
    </row>
    <row r="768" spans="21:33" x14ac:dyDescent="0.25">
      <c r="U768" t="s">
        <v>3722</v>
      </c>
      <c r="Y768" t="s">
        <v>4713</v>
      </c>
      <c r="AG768" t="s">
        <v>5652</v>
      </c>
    </row>
    <row r="769" spans="21:33" x14ac:dyDescent="0.25">
      <c r="U769" t="s">
        <v>3723</v>
      </c>
      <c r="Y769" t="s">
        <v>4714</v>
      </c>
      <c r="AG769" t="s">
        <v>4193</v>
      </c>
    </row>
    <row r="770" spans="21:33" x14ac:dyDescent="0.25">
      <c r="U770" t="s">
        <v>3724</v>
      </c>
      <c r="Y770" t="s">
        <v>4715</v>
      </c>
      <c r="AG770" t="s">
        <v>5653</v>
      </c>
    </row>
    <row r="771" spans="21:33" x14ac:dyDescent="0.25">
      <c r="U771" t="s">
        <v>3725</v>
      </c>
      <c r="Y771" t="s">
        <v>4716</v>
      </c>
      <c r="AG771" t="s">
        <v>3206</v>
      </c>
    </row>
    <row r="772" spans="21:33" x14ac:dyDescent="0.25">
      <c r="U772" t="s">
        <v>3726</v>
      </c>
      <c r="Y772" t="s">
        <v>4717</v>
      </c>
      <c r="AG772" t="s">
        <v>5654</v>
      </c>
    </row>
    <row r="773" spans="21:33" x14ac:dyDescent="0.25">
      <c r="U773" t="s">
        <v>3727</v>
      </c>
      <c r="Y773" t="s">
        <v>4718</v>
      </c>
      <c r="AG773" t="s">
        <v>4201</v>
      </c>
    </row>
    <row r="774" spans="21:33" x14ac:dyDescent="0.25">
      <c r="U774" t="s">
        <v>3728</v>
      </c>
      <c r="Y774" t="s">
        <v>4719</v>
      </c>
      <c r="AG774" t="s">
        <v>5655</v>
      </c>
    </row>
    <row r="775" spans="21:33" x14ac:dyDescent="0.25">
      <c r="U775" t="s">
        <v>3729</v>
      </c>
      <c r="Y775" t="s">
        <v>4720</v>
      </c>
      <c r="AG775" t="s">
        <v>3214</v>
      </c>
    </row>
    <row r="776" spans="21:33" x14ac:dyDescent="0.25">
      <c r="U776" t="s">
        <v>3730</v>
      </c>
      <c r="Y776" t="s">
        <v>4721</v>
      </c>
      <c r="AG776" t="s">
        <v>5656</v>
      </c>
    </row>
    <row r="777" spans="21:33" x14ac:dyDescent="0.25">
      <c r="U777" t="s">
        <v>3731</v>
      </c>
      <c r="Y777" t="s">
        <v>4722</v>
      </c>
      <c r="AG777" t="s">
        <v>4209</v>
      </c>
    </row>
    <row r="778" spans="21:33" x14ac:dyDescent="0.25">
      <c r="U778" t="s">
        <v>3732</v>
      </c>
      <c r="Y778" t="s">
        <v>4723</v>
      </c>
      <c r="AG778" t="s">
        <v>5657</v>
      </c>
    </row>
    <row r="779" spans="21:33" x14ac:dyDescent="0.25">
      <c r="U779" t="s">
        <v>3733</v>
      </c>
      <c r="Y779" t="s">
        <v>4724</v>
      </c>
      <c r="AG779" t="s">
        <v>3222</v>
      </c>
    </row>
    <row r="780" spans="21:33" x14ac:dyDescent="0.25">
      <c r="U780" t="s">
        <v>3734</v>
      </c>
      <c r="Y780" t="s">
        <v>4725</v>
      </c>
      <c r="AG780" t="s">
        <v>5658</v>
      </c>
    </row>
    <row r="781" spans="21:33" x14ac:dyDescent="0.25">
      <c r="U781" t="s">
        <v>3735</v>
      </c>
      <c r="Y781" t="s">
        <v>4726</v>
      </c>
      <c r="AG781" t="s">
        <v>4217</v>
      </c>
    </row>
    <row r="782" spans="21:33" x14ac:dyDescent="0.25">
      <c r="U782" t="s">
        <v>3736</v>
      </c>
      <c r="Y782" t="s">
        <v>4727</v>
      </c>
      <c r="AG782" t="s">
        <v>5659</v>
      </c>
    </row>
    <row r="783" spans="21:33" x14ac:dyDescent="0.25">
      <c r="U783" t="s">
        <v>3737</v>
      </c>
      <c r="Y783" t="s">
        <v>4728</v>
      </c>
      <c r="AG783" t="s">
        <v>3230</v>
      </c>
    </row>
    <row r="784" spans="21:33" x14ac:dyDescent="0.25">
      <c r="U784" t="s">
        <v>3738</v>
      </c>
      <c r="Y784" t="s">
        <v>4729</v>
      </c>
      <c r="AG784" t="s">
        <v>5660</v>
      </c>
    </row>
    <row r="785" spans="21:33" x14ac:dyDescent="0.25">
      <c r="U785" t="s">
        <v>3739</v>
      </c>
      <c r="Y785" t="s">
        <v>4730</v>
      </c>
      <c r="AG785" t="s">
        <v>4225</v>
      </c>
    </row>
    <row r="786" spans="21:33" x14ac:dyDescent="0.25">
      <c r="U786" t="s">
        <v>3740</v>
      </c>
      <c r="Y786" t="s">
        <v>4731</v>
      </c>
      <c r="AG786" t="s">
        <v>5661</v>
      </c>
    </row>
    <row r="787" spans="21:33" x14ac:dyDescent="0.25">
      <c r="U787" t="s">
        <v>3741</v>
      </c>
      <c r="Y787" t="s">
        <v>4732</v>
      </c>
      <c r="AG787" t="s">
        <v>3238</v>
      </c>
    </row>
    <row r="788" spans="21:33" x14ac:dyDescent="0.25">
      <c r="U788" t="s">
        <v>3742</v>
      </c>
      <c r="Y788" t="s">
        <v>4733</v>
      </c>
      <c r="AG788" t="s">
        <v>5662</v>
      </c>
    </row>
    <row r="789" spans="21:33" x14ac:dyDescent="0.25">
      <c r="U789" t="s">
        <v>3743</v>
      </c>
      <c r="Y789" t="s">
        <v>4734</v>
      </c>
      <c r="AG789" t="s">
        <v>4233</v>
      </c>
    </row>
    <row r="790" spans="21:33" x14ac:dyDescent="0.25">
      <c r="U790" t="s">
        <v>3744</v>
      </c>
      <c r="Y790" t="s">
        <v>4735</v>
      </c>
      <c r="AG790" t="s">
        <v>5663</v>
      </c>
    </row>
    <row r="791" spans="21:33" x14ac:dyDescent="0.25">
      <c r="U791" t="s">
        <v>3745</v>
      </c>
      <c r="Y791" t="s">
        <v>4736</v>
      </c>
      <c r="AG791" t="s">
        <v>3246</v>
      </c>
    </row>
    <row r="792" spans="21:33" x14ac:dyDescent="0.25">
      <c r="U792" t="s">
        <v>3746</v>
      </c>
      <c r="Y792" t="s">
        <v>4737</v>
      </c>
      <c r="AG792" t="s">
        <v>5664</v>
      </c>
    </row>
    <row r="793" spans="21:33" x14ac:dyDescent="0.25">
      <c r="U793" t="s">
        <v>3747</v>
      </c>
      <c r="Y793" t="s">
        <v>4738</v>
      </c>
      <c r="AG793" t="s">
        <v>4241</v>
      </c>
    </row>
    <row r="794" spans="21:33" x14ac:dyDescent="0.25">
      <c r="U794" t="s">
        <v>3748</v>
      </c>
      <c r="Y794" t="s">
        <v>4739</v>
      </c>
      <c r="AG794" t="s">
        <v>5665</v>
      </c>
    </row>
    <row r="795" spans="21:33" x14ac:dyDescent="0.25">
      <c r="U795" t="s">
        <v>3749</v>
      </c>
      <c r="Y795" t="s">
        <v>4740</v>
      </c>
      <c r="AG795" t="s">
        <v>3254</v>
      </c>
    </row>
    <row r="796" spans="21:33" x14ac:dyDescent="0.25">
      <c r="U796" t="s">
        <v>3750</v>
      </c>
      <c r="Y796" t="s">
        <v>4741</v>
      </c>
      <c r="AG796" t="s">
        <v>5666</v>
      </c>
    </row>
    <row r="797" spans="21:33" x14ac:dyDescent="0.25">
      <c r="U797" t="s">
        <v>3751</v>
      </c>
      <c r="Y797" t="s">
        <v>4742</v>
      </c>
      <c r="AG797" t="s">
        <v>4249</v>
      </c>
    </row>
    <row r="798" spans="21:33" x14ac:dyDescent="0.25">
      <c r="U798" t="s">
        <v>3752</v>
      </c>
      <c r="Y798" t="s">
        <v>4743</v>
      </c>
      <c r="AG798" t="s">
        <v>5667</v>
      </c>
    </row>
    <row r="799" spans="21:33" x14ac:dyDescent="0.25">
      <c r="U799" t="s">
        <v>3753</v>
      </c>
      <c r="Y799" t="s">
        <v>4744</v>
      </c>
      <c r="AG799" t="s">
        <v>3262</v>
      </c>
    </row>
    <row r="800" spans="21:33" x14ac:dyDescent="0.25">
      <c r="U800" t="s">
        <v>3754</v>
      </c>
      <c r="Y800" t="s">
        <v>4745</v>
      </c>
      <c r="AG800" t="s">
        <v>5668</v>
      </c>
    </row>
    <row r="801" spans="21:33" x14ac:dyDescent="0.25">
      <c r="U801" t="s">
        <v>3755</v>
      </c>
      <c r="Y801" t="s">
        <v>4746</v>
      </c>
      <c r="AG801" t="s">
        <v>4257</v>
      </c>
    </row>
    <row r="802" spans="21:33" x14ac:dyDescent="0.25">
      <c r="U802" t="s">
        <v>3756</v>
      </c>
      <c r="Y802" t="s">
        <v>4747</v>
      </c>
      <c r="AG802" t="s">
        <v>5669</v>
      </c>
    </row>
    <row r="803" spans="21:33" x14ac:dyDescent="0.25">
      <c r="U803" t="s">
        <v>3757</v>
      </c>
      <c r="Y803" t="s">
        <v>4748</v>
      </c>
      <c r="AG803" t="s">
        <v>3270</v>
      </c>
    </row>
    <row r="804" spans="21:33" x14ac:dyDescent="0.25">
      <c r="U804" t="s">
        <v>3758</v>
      </c>
      <c r="Y804" t="s">
        <v>4749</v>
      </c>
      <c r="AG804" t="s">
        <v>5563</v>
      </c>
    </row>
    <row r="805" spans="21:33" x14ac:dyDescent="0.25">
      <c r="U805" t="s">
        <v>3759</v>
      </c>
      <c r="Y805" t="s">
        <v>4750</v>
      </c>
      <c r="AG805" t="s">
        <v>4265</v>
      </c>
    </row>
    <row r="806" spans="21:33" x14ac:dyDescent="0.25">
      <c r="U806" t="s">
        <v>3760</v>
      </c>
      <c r="Y806" t="s">
        <v>4751</v>
      </c>
      <c r="AG806" t="s">
        <v>5670</v>
      </c>
    </row>
    <row r="807" spans="21:33" x14ac:dyDescent="0.25">
      <c r="U807" t="s">
        <v>3761</v>
      </c>
      <c r="Y807" t="s">
        <v>4752</v>
      </c>
      <c r="AG807" t="s">
        <v>3278</v>
      </c>
    </row>
    <row r="808" spans="21:33" x14ac:dyDescent="0.25">
      <c r="U808" t="s">
        <v>3762</v>
      </c>
      <c r="Y808" t="s">
        <v>4753</v>
      </c>
      <c r="AG808" t="s">
        <v>5671</v>
      </c>
    </row>
    <row r="809" spans="21:33" x14ac:dyDescent="0.25">
      <c r="U809" t="s">
        <v>3763</v>
      </c>
      <c r="Y809" t="s">
        <v>4754</v>
      </c>
      <c r="AG809" t="s">
        <v>4273</v>
      </c>
    </row>
    <row r="810" spans="21:33" x14ac:dyDescent="0.25">
      <c r="U810" t="s">
        <v>3764</v>
      </c>
      <c r="Y810" t="s">
        <v>4755</v>
      </c>
      <c r="AG810" t="s">
        <v>5672</v>
      </c>
    </row>
    <row r="811" spans="21:33" x14ac:dyDescent="0.25">
      <c r="U811" t="s">
        <v>3765</v>
      </c>
      <c r="Y811" t="s">
        <v>4756</v>
      </c>
      <c r="AG811" t="s">
        <v>3286</v>
      </c>
    </row>
    <row r="812" spans="21:33" x14ac:dyDescent="0.25">
      <c r="U812" t="s">
        <v>3766</v>
      </c>
      <c r="Y812" t="s">
        <v>4757</v>
      </c>
      <c r="AG812" t="s">
        <v>5673</v>
      </c>
    </row>
    <row r="813" spans="21:33" x14ac:dyDescent="0.25">
      <c r="U813" t="s">
        <v>3767</v>
      </c>
      <c r="Y813" t="s">
        <v>4758</v>
      </c>
      <c r="AG813" t="s">
        <v>4281</v>
      </c>
    </row>
    <row r="814" spans="21:33" x14ac:dyDescent="0.25">
      <c r="U814" t="s">
        <v>3768</v>
      </c>
      <c r="Y814" t="s">
        <v>4759</v>
      </c>
      <c r="AG814" t="s">
        <v>5674</v>
      </c>
    </row>
    <row r="815" spans="21:33" x14ac:dyDescent="0.25">
      <c r="U815" t="s">
        <v>3769</v>
      </c>
      <c r="Y815" t="s">
        <v>4760</v>
      </c>
      <c r="AG815" t="s">
        <v>3294</v>
      </c>
    </row>
    <row r="816" spans="21:33" x14ac:dyDescent="0.25">
      <c r="U816" t="s">
        <v>3770</v>
      </c>
      <c r="Y816" t="s">
        <v>4761</v>
      </c>
      <c r="AG816" t="s">
        <v>5675</v>
      </c>
    </row>
    <row r="817" spans="21:33" x14ac:dyDescent="0.25">
      <c r="U817" t="s">
        <v>3771</v>
      </c>
      <c r="Y817" t="s">
        <v>4762</v>
      </c>
      <c r="AG817" t="s">
        <v>4289</v>
      </c>
    </row>
    <row r="818" spans="21:33" x14ac:dyDescent="0.25">
      <c r="U818" t="s">
        <v>3772</v>
      </c>
      <c r="Y818" t="s">
        <v>4763</v>
      </c>
      <c r="AG818" t="s">
        <v>5676</v>
      </c>
    </row>
    <row r="819" spans="21:33" x14ac:dyDescent="0.25">
      <c r="U819" t="s">
        <v>3773</v>
      </c>
      <c r="Y819" t="s">
        <v>4764</v>
      </c>
      <c r="AG819" t="s">
        <v>3302</v>
      </c>
    </row>
    <row r="820" spans="21:33" x14ac:dyDescent="0.25">
      <c r="U820" t="s">
        <v>3774</v>
      </c>
      <c r="Y820" t="s">
        <v>4765</v>
      </c>
      <c r="AG820" t="s">
        <v>5677</v>
      </c>
    </row>
    <row r="821" spans="21:33" x14ac:dyDescent="0.25">
      <c r="U821" t="s">
        <v>3775</v>
      </c>
      <c r="Y821" t="s">
        <v>4766</v>
      </c>
      <c r="AG821" t="s">
        <v>4297</v>
      </c>
    </row>
    <row r="822" spans="21:33" x14ac:dyDescent="0.25">
      <c r="U822" t="s">
        <v>3776</v>
      </c>
      <c r="Y822" t="s">
        <v>4767</v>
      </c>
      <c r="AG822" t="s">
        <v>5678</v>
      </c>
    </row>
    <row r="823" spans="21:33" x14ac:dyDescent="0.25">
      <c r="U823" t="s">
        <v>3777</v>
      </c>
      <c r="Y823" t="s">
        <v>4768</v>
      </c>
      <c r="AG823" t="s">
        <v>3310</v>
      </c>
    </row>
    <row r="824" spans="21:33" x14ac:dyDescent="0.25">
      <c r="U824" t="s">
        <v>3778</v>
      </c>
      <c r="Y824" t="s">
        <v>4769</v>
      </c>
      <c r="AG824" t="s">
        <v>5679</v>
      </c>
    </row>
    <row r="825" spans="21:33" x14ac:dyDescent="0.25">
      <c r="U825" t="s">
        <v>3779</v>
      </c>
      <c r="Y825" t="s">
        <v>4770</v>
      </c>
      <c r="AG825" t="s">
        <v>4305</v>
      </c>
    </row>
    <row r="826" spans="21:33" x14ac:dyDescent="0.25">
      <c r="U826" t="s">
        <v>3780</v>
      </c>
      <c r="Y826" t="s">
        <v>4771</v>
      </c>
      <c r="AG826" t="s">
        <v>5680</v>
      </c>
    </row>
    <row r="827" spans="21:33" x14ac:dyDescent="0.25">
      <c r="U827" t="s">
        <v>3781</v>
      </c>
      <c r="Y827" t="s">
        <v>4772</v>
      </c>
      <c r="AG827" t="s">
        <v>3318</v>
      </c>
    </row>
    <row r="828" spans="21:33" x14ac:dyDescent="0.25">
      <c r="U828" t="s">
        <v>3782</v>
      </c>
      <c r="Y828" t="s">
        <v>4773</v>
      </c>
      <c r="AG828" t="s">
        <v>5681</v>
      </c>
    </row>
    <row r="829" spans="21:33" x14ac:dyDescent="0.25">
      <c r="U829" t="s">
        <v>3783</v>
      </c>
      <c r="Y829" t="s">
        <v>4774</v>
      </c>
      <c r="AG829" t="s">
        <v>4313</v>
      </c>
    </row>
    <row r="830" spans="21:33" x14ac:dyDescent="0.25">
      <c r="U830" t="s">
        <v>3784</v>
      </c>
      <c r="Y830" t="s">
        <v>4775</v>
      </c>
      <c r="AG830" t="s">
        <v>5682</v>
      </c>
    </row>
    <row r="831" spans="21:33" x14ac:dyDescent="0.25">
      <c r="U831" t="s">
        <v>3785</v>
      </c>
      <c r="Y831" t="s">
        <v>4776</v>
      </c>
      <c r="AG831" t="s">
        <v>3326</v>
      </c>
    </row>
    <row r="832" spans="21:33" x14ac:dyDescent="0.25">
      <c r="U832" t="s">
        <v>3786</v>
      </c>
      <c r="Y832" t="s">
        <v>4777</v>
      </c>
      <c r="AG832" t="s">
        <v>5683</v>
      </c>
    </row>
    <row r="833" spans="21:33" x14ac:dyDescent="0.25">
      <c r="U833" t="s">
        <v>3787</v>
      </c>
      <c r="Y833" t="s">
        <v>4778</v>
      </c>
      <c r="AG833" t="s">
        <v>4321</v>
      </c>
    </row>
    <row r="834" spans="21:33" x14ac:dyDescent="0.25">
      <c r="U834" t="s">
        <v>3788</v>
      </c>
      <c r="Y834" t="s">
        <v>4779</v>
      </c>
      <c r="AG834" t="s">
        <v>5684</v>
      </c>
    </row>
    <row r="835" spans="21:33" x14ac:dyDescent="0.25">
      <c r="U835" t="s">
        <v>3789</v>
      </c>
      <c r="Y835" t="s">
        <v>4780</v>
      </c>
      <c r="AG835" t="s">
        <v>3334</v>
      </c>
    </row>
    <row r="836" spans="21:33" x14ac:dyDescent="0.25">
      <c r="U836" t="s">
        <v>3790</v>
      </c>
      <c r="Y836" t="s">
        <v>4781</v>
      </c>
      <c r="AG836" t="s">
        <v>5685</v>
      </c>
    </row>
    <row r="837" spans="21:33" x14ac:dyDescent="0.25">
      <c r="U837" t="s">
        <v>3791</v>
      </c>
      <c r="Y837" t="s">
        <v>4782</v>
      </c>
      <c r="AG837" t="s">
        <v>4329</v>
      </c>
    </row>
    <row r="838" spans="21:33" x14ac:dyDescent="0.25">
      <c r="U838" t="s">
        <v>3792</v>
      </c>
      <c r="Y838" t="s">
        <v>4783</v>
      </c>
      <c r="AG838" t="s">
        <v>5686</v>
      </c>
    </row>
    <row r="839" spans="21:33" x14ac:dyDescent="0.25">
      <c r="U839" t="s">
        <v>3793</v>
      </c>
      <c r="Y839" t="s">
        <v>4784</v>
      </c>
      <c r="AG839" t="s">
        <v>3342</v>
      </c>
    </row>
    <row r="840" spans="21:33" x14ac:dyDescent="0.25">
      <c r="U840" t="s">
        <v>3794</v>
      </c>
      <c r="Y840" t="s">
        <v>4785</v>
      </c>
      <c r="AG840" t="s">
        <v>5687</v>
      </c>
    </row>
    <row r="841" spans="21:33" x14ac:dyDescent="0.25">
      <c r="U841" t="s">
        <v>3795</v>
      </c>
      <c r="Y841" t="s">
        <v>4786</v>
      </c>
      <c r="AG841" t="s">
        <v>4337</v>
      </c>
    </row>
    <row r="842" spans="21:33" x14ac:dyDescent="0.25">
      <c r="U842" t="s">
        <v>3796</v>
      </c>
      <c r="Y842" t="s">
        <v>4787</v>
      </c>
      <c r="AG842" t="s">
        <v>5688</v>
      </c>
    </row>
    <row r="843" spans="21:33" x14ac:dyDescent="0.25">
      <c r="U843" t="s">
        <v>3797</v>
      </c>
      <c r="Y843" t="s">
        <v>4788</v>
      </c>
      <c r="AG843" t="s">
        <v>3350</v>
      </c>
    </row>
    <row r="844" spans="21:33" x14ac:dyDescent="0.25">
      <c r="U844" t="s">
        <v>3798</v>
      </c>
      <c r="Y844" t="s">
        <v>4789</v>
      </c>
      <c r="AG844" t="s">
        <v>5567</v>
      </c>
    </row>
    <row r="845" spans="21:33" x14ac:dyDescent="0.25">
      <c r="U845" t="s">
        <v>3799</v>
      </c>
      <c r="Y845" t="s">
        <v>4790</v>
      </c>
      <c r="AG845" t="s">
        <v>4345</v>
      </c>
    </row>
    <row r="846" spans="21:33" x14ac:dyDescent="0.25">
      <c r="U846" t="s">
        <v>3800</v>
      </c>
      <c r="Y846" t="s">
        <v>4791</v>
      </c>
      <c r="AG846" t="s">
        <v>5689</v>
      </c>
    </row>
    <row r="847" spans="21:33" x14ac:dyDescent="0.25">
      <c r="U847" t="s">
        <v>3801</v>
      </c>
      <c r="Y847" t="s">
        <v>4792</v>
      </c>
      <c r="AG847" t="s">
        <v>3358</v>
      </c>
    </row>
    <row r="848" spans="21:33" x14ac:dyDescent="0.25">
      <c r="U848" t="s">
        <v>3802</v>
      </c>
      <c r="Y848" t="s">
        <v>4793</v>
      </c>
      <c r="AG848" t="s">
        <v>5690</v>
      </c>
    </row>
    <row r="849" spans="21:33" x14ac:dyDescent="0.25">
      <c r="U849" t="s">
        <v>3803</v>
      </c>
      <c r="Y849" t="s">
        <v>4794</v>
      </c>
      <c r="AG849" t="s">
        <v>4353</v>
      </c>
    </row>
    <row r="850" spans="21:33" x14ac:dyDescent="0.25">
      <c r="U850" t="s">
        <v>3804</v>
      </c>
      <c r="Y850" t="s">
        <v>4795</v>
      </c>
      <c r="AG850" t="s">
        <v>5691</v>
      </c>
    </row>
    <row r="851" spans="21:33" x14ac:dyDescent="0.25">
      <c r="U851" t="s">
        <v>3805</v>
      </c>
      <c r="Y851" t="s">
        <v>4796</v>
      </c>
      <c r="AG851" t="s">
        <v>3366</v>
      </c>
    </row>
    <row r="852" spans="21:33" x14ac:dyDescent="0.25">
      <c r="U852" t="s">
        <v>3806</v>
      </c>
      <c r="Y852" t="s">
        <v>4797</v>
      </c>
      <c r="AG852" t="s">
        <v>5692</v>
      </c>
    </row>
    <row r="853" spans="21:33" x14ac:dyDescent="0.25">
      <c r="U853" t="s">
        <v>3807</v>
      </c>
      <c r="Y853" t="s">
        <v>4798</v>
      </c>
      <c r="AG853" t="s">
        <v>4361</v>
      </c>
    </row>
    <row r="854" spans="21:33" x14ac:dyDescent="0.25">
      <c r="U854" t="s">
        <v>3808</v>
      </c>
      <c r="Y854" t="s">
        <v>4799</v>
      </c>
      <c r="AG854" t="s">
        <v>5693</v>
      </c>
    </row>
    <row r="855" spans="21:33" x14ac:dyDescent="0.25">
      <c r="U855" t="s">
        <v>3809</v>
      </c>
      <c r="Y855" t="s">
        <v>4800</v>
      </c>
      <c r="AG855" t="s">
        <v>3374</v>
      </c>
    </row>
    <row r="856" spans="21:33" x14ac:dyDescent="0.25">
      <c r="U856" t="s">
        <v>3810</v>
      </c>
      <c r="Y856" t="s">
        <v>4801</v>
      </c>
      <c r="AG856" t="s">
        <v>5694</v>
      </c>
    </row>
    <row r="857" spans="21:33" x14ac:dyDescent="0.25">
      <c r="U857" t="s">
        <v>3811</v>
      </c>
      <c r="Y857" t="s">
        <v>4802</v>
      </c>
      <c r="AG857" t="s">
        <v>4369</v>
      </c>
    </row>
    <row r="858" spans="21:33" x14ac:dyDescent="0.25">
      <c r="U858" t="s">
        <v>3812</v>
      </c>
      <c r="Y858" t="s">
        <v>4803</v>
      </c>
      <c r="AG858" t="s">
        <v>5695</v>
      </c>
    </row>
    <row r="859" spans="21:33" x14ac:dyDescent="0.25">
      <c r="U859" t="s">
        <v>3813</v>
      </c>
      <c r="Y859" t="s">
        <v>4804</v>
      </c>
      <c r="AG859" t="s">
        <v>3382</v>
      </c>
    </row>
    <row r="860" spans="21:33" x14ac:dyDescent="0.25">
      <c r="U860" t="s">
        <v>3814</v>
      </c>
      <c r="Y860" t="s">
        <v>4805</v>
      </c>
      <c r="AG860" t="s">
        <v>5696</v>
      </c>
    </row>
    <row r="861" spans="21:33" x14ac:dyDescent="0.25">
      <c r="U861" t="s">
        <v>3815</v>
      </c>
      <c r="Y861" t="s">
        <v>4806</v>
      </c>
      <c r="AG861" t="s">
        <v>4377</v>
      </c>
    </row>
    <row r="862" spans="21:33" x14ac:dyDescent="0.25">
      <c r="U862" t="s">
        <v>3816</v>
      </c>
      <c r="Y862" t="s">
        <v>4807</v>
      </c>
      <c r="AG862" t="s">
        <v>5697</v>
      </c>
    </row>
    <row r="863" spans="21:33" x14ac:dyDescent="0.25">
      <c r="U863" t="s">
        <v>3817</v>
      </c>
      <c r="Y863" t="s">
        <v>4808</v>
      </c>
      <c r="AG863" t="s">
        <v>3390</v>
      </c>
    </row>
    <row r="864" spans="21:33" x14ac:dyDescent="0.25">
      <c r="U864" t="s">
        <v>3818</v>
      </c>
      <c r="Y864" t="s">
        <v>4809</v>
      </c>
      <c r="AG864" t="s">
        <v>5698</v>
      </c>
    </row>
    <row r="865" spans="21:33" x14ac:dyDescent="0.25">
      <c r="U865" t="s">
        <v>3819</v>
      </c>
      <c r="Y865" t="s">
        <v>4810</v>
      </c>
      <c r="AG865" t="s">
        <v>4385</v>
      </c>
    </row>
    <row r="866" spans="21:33" x14ac:dyDescent="0.25">
      <c r="U866" t="s">
        <v>3820</v>
      </c>
      <c r="Y866" t="s">
        <v>4811</v>
      </c>
      <c r="AG866" t="s">
        <v>5699</v>
      </c>
    </row>
    <row r="867" spans="21:33" x14ac:dyDescent="0.25">
      <c r="U867" t="s">
        <v>3821</v>
      </c>
      <c r="Y867" t="s">
        <v>4812</v>
      </c>
      <c r="AG867" t="s">
        <v>3398</v>
      </c>
    </row>
    <row r="868" spans="21:33" x14ac:dyDescent="0.25">
      <c r="U868" t="s">
        <v>3822</v>
      </c>
      <c r="Y868" t="s">
        <v>4813</v>
      </c>
      <c r="AG868" t="s">
        <v>5700</v>
      </c>
    </row>
    <row r="869" spans="21:33" x14ac:dyDescent="0.25">
      <c r="U869" t="s">
        <v>3823</v>
      </c>
      <c r="Y869" t="s">
        <v>4814</v>
      </c>
      <c r="AG869" t="s">
        <v>4393</v>
      </c>
    </row>
    <row r="870" spans="21:33" x14ac:dyDescent="0.25">
      <c r="U870" t="s">
        <v>3824</v>
      </c>
      <c r="Y870" t="s">
        <v>4815</v>
      </c>
      <c r="AG870" t="s">
        <v>5701</v>
      </c>
    </row>
    <row r="871" spans="21:33" x14ac:dyDescent="0.25">
      <c r="U871" t="s">
        <v>3825</v>
      </c>
      <c r="Y871" t="s">
        <v>4816</v>
      </c>
      <c r="AG871" t="s">
        <v>3406</v>
      </c>
    </row>
    <row r="872" spans="21:33" x14ac:dyDescent="0.25">
      <c r="U872" t="s">
        <v>3826</v>
      </c>
      <c r="Y872" t="s">
        <v>4817</v>
      </c>
      <c r="AG872" t="s">
        <v>5702</v>
      </c>
    </row>
    <row r="873" spans="21:33" x14ac:dyDescent="0.25">
      <c r="U873" t="s">
        <v>3827</v>
      </c>
      <c r="Y873" t="s">
        <v>4818</v>
      </c>
      <c r="AG873" t="s">
        <v>4401</v>
      </c>
    </row>
    <row r="874" spans="21:33" x14ac:dyDescent="0.25">
      <c r="U874" t="s">
        <v>3828</v>
      </c>
      <c r="Y874" t="s">
        <v>4819</v>
      </c>
      <c r="AG874" t="s">
        <v>5703</v>
      </c>
    </row>
    <row r="875" spans="21:33" x14ac:dyDescent="0.25">
      <c r="U875" t="s">
        <v>3829</v>
      </c>
      <c r="Y875" t="s">
        <v>4820</v>
      </c>
      <c r="AG875" t="s">
        <v>3414</v>
      </c>
    </row>
    <row r="876" spans="21:33" x14ac:dyDescent="0.25">
      <c r="U876" t="s">
        <v>3830</v>
      </c>
      <c r="Y876" t="s">
        <v>4821</v>
      </c>
      <c r="AG876" t="s">
        <v>5704</v>
      </c>
    </row>
    <row r="877" spans="21:33" x14ac:dyDescent="0.25">
      <c r="U877" t="s">
        <v>3831</v>
      </c>
      <c r="Y877" t="s">
        <v>4822</v>
      </c>
      <c r="AG877" t="s">
        <v>4409</v>
      </c>
    </row>
    <row r="878" spans="21:33" x14ac:dyDescent="0.25">
      <c r="U878" t="s">
        <v>3832</v>
      </c>
      <c r="Y878" t="s">
        <v>4823</v>
      </c>
      <c r="AG878" t="s">
        <v>5705</v>
      </c>
    </row>
    <row r="879" spans="21:33" x14ac:dyDescent="0.25">
      <c r="U879" t="s">
        <v>3833</v>
      </c>
      <c r="Y879" t="s">
        <v>4824</v>
      </c>
      <c r="AG879" t="s">
        <v>3422</v>
      </c>
    </row>
    <row r="880" spans="21:33" x14ac:dyDescent="0.25">
      <c r="U880" t="s">
        <v>3834</v>
      </c>
      <c r="Y880" t="s">
        <v>4825</v>
      </c>
      <c r="AG880" t="s">
        <v>5706</v>
      </c>
    </row>
    <row r="881" spans="21:33" x14ac:dyDescent="0.25">
      <c r="U881" t="s">
        <v>3835</v>
      </c>
      <c r="Y881" t="s">
        <v>4826</v>
      </c>
      <c r="AG881" t="s">
        <v>4417</v>
      </c>
    </row>
    <row r="882" spans="21:33" x14ac:dyDescent="0.25">
      <c r="U882" t="s">
        <v>3836</v>
      </c>
      <c r="Y882" t="s">
        <v>4827</v>
      </c>
      <c r="AG882" t="s">
        <v>5707</v>
      </c>
    </row>
    <row r="883" spans="21:33" x14ac:dyDescent="0.25">
      <c r="U883" t="s">
        <v>3837</v>
      </c>
      <c r="Y883" t="s">
        <v>4828</v>
      </c>
      <c r="AG883" t="s">
        <v>3430</v>
      </c>
    </row>
    <row r="884" spans="21:33" x14ac:dyDescent="0.25">
      <c r="U884" t="s">
        <v>3838</v>
      </c>
      <c r="Y884" t="s">
        <v>4829</v>
      </c>
      <c r="AG884" t="s">
        <v>5571</v>
      </c>
    </row>
    <row r="885" spans="21:33" x14ac:dyDescent="0.25">
      <c r="U885" t="s">
        <v>3839</v>
      </c>
      <c r="Y885" t="s">
        <v>4830</v>
      </c>
      <c r="AG885" t="s">
        <v>4425</v>
      </c>
    </row>
    <row r="886" spans="21:33" x14ac:dyDescent="0.25">
      <c r="U886" t="s">
        <v>3840</v>
      </c>
      <c r="Y886" t="s">
        <v>4831</v>
      </c>
      <c r="AG886" t="s">
        <v>5708</v>
      </c>
    </row>
    <row r="887" spans="21:33" x14ac:dyDescent="0.25">
      <c r="U887" t="s">
        <v>3841</v>
      </c>
      <c r="Y887" t="s">
        <v>4832</v>
      </c>
      <c r="AG887" t="s">
        <v>3438</v>
      </c>
    </row>
    <row r="888" spans="21:33" x14ac:dyDescent="0.25">
      <c r="U888" t="s">
        <v>3842</v>
      </c>
      <c r="Y888" t="s">
        <v>4833</v>
      </c>
      <c r="AG888" t="s">
        <v>5709</v>
      </c>
    </row>
    <row r="889" spans="21:33" x14ac:dyDescent="0.25">
      <c r="U889" t="s">
        <v>3843</v>
      </c>
      <c r="Y889" t="s">
        <v>4834</v>
      </c>
      <c r="AG889" t="s">
        <v>4433</v>
      </c>
    </row>
    <row r="890" spans="21:33" x14ac:dyDescent="0.25">
      <c r="U890" t="s">
        <v>3844</v>
      </c>
      <c r="Y890" t="s">
        <v>4835</v>
      </c>
      <c r="AG890" t="s">
        <v>5710</v>
      </c>
    </row>
    <row r="891" spans="21:33" x14ac:dyDescent="0.25">
      <c r="U891" t="s">
        <v>3845</v>
      </c>
      <c r="Y891" t="s">
        <v>4836</v>
      </c>
      <c r="AG891" t="s">
        <v>3446</v>
      </c>
    </row>
    <row r="892" spans="21:33" x14ac:dyDescent="0.25">
      <c r="U892" t="s">
        <v>3846</v>
      </c>
      <c r="Y892" t="s">
        <v>4837</v>
      </c>
      <c r="AG892" t="s">
        <v>5711</v>
      </c>
    </row>
    <row r="893" spans="21:33" x14ac:dyDescent="0.25">
      <c r="U893" t="s">
        <v>3847</v>
      </c>
      <c r="Y893" t="s">
        <v>4838</v>
      </c>
      <c r="AG893" t="s">
        <v>4441</v>
      </c>
    </row>
    <row r="894" spans="21:33" x14ac:dyDescent="0.25">
      <c r="U894" t="s">
        <v>3848</v>
      </c>
      <c r="Y894" t="s">
        <v>4839</v>
      </c>
      <c r="AG894" t="s">
        <v>5712</v>
      </c>
    </row>
    <row r="895" spans="21:33" x14ac:dyDescent="0.25">
      <c r="U895" t="s">
        <v>3849</v>
      </c>
      <c r="Y895" t="s">
        <v>4840</v>
      </c>
      <c r="AG895" t="s">
        <v>3454</v>
      </c>
    </row>
    <row r="896" spans="21:33" x14ac:dyDescent="0.25">
      <c r="U896" t="s">
        <v>3850</v>
      </c>
      <c r="Y896" t="s">
        <v>4841</v>
      </c>
      <c r="AG896" t="s">
        <v>5713</v>
      </c>
    </row>
    <row r="897" spans="21:33" x14ac:dyDescent="0.25">
      <c r="U897" t="s">
        <v>3851</v>
      </c>
      <c r="Y897" t="s">
        <v>4842</v>
      </c>
      <c r="AG897" t="s">
        <v>4449</v>
      </c>
    </row>
    <row r="898" spans="21:33" x14ac:dyDescent="0.25">
      <c r="U898" t="s">
        <v>3852</v>
      </c>
      <c r="Y898" t="s">
        <v>4843</v>
      </c>
      <c r="AG898" t="s">
        <v>5714</v>
      </c>
    </row>
    <row r="899" spans="21:33" x14ac:dyDescent="0.25">
      <c r="U899" t="s">
        <v>3853</v>
      </c>
      <c r="Y899" t="s">
        <v>4844</v>
      </c>
      <c r="AG899" t="s">
        <v>3462</v>
      </c>
    </row>
    <row r="900" spans="21:33" x14ac:dyDescent="0.25">
      <c r="U900" t="s">
        <v>3854</v>
      </c>
      <c r="Y900" t="s">
        <v>4845</v>
      </c>
      <c r="AG900" t="s">
        <v>5715</v>
      </c>
    </row>
    <row r="901" spans="21:33" x14ac:dyDescent="0.25">
      <c r="U901" t="s">
        <v>3855</v>
      </c>
      <c r="Y901" t="s">
        <v>4846</v>
      </c>
      <c r="AG901" t="s">
        <v>4457</v>
      </c>
    </row>
    <row r="902" spans="21:33" x14ac:dyDescent="0.25">
      <c r="U902" t="s">
        <v>3856</v>
      </c>
      <c r="Y902" t="s">
        <v>4847</v>
      </c>
      <c r="AG902" t="s">
        <v>5716</v>
      </c>
    </row>
    <row r="903" spans="21:33" x14ac:dyDescent="0.25">
      <c r="U903" t="s">
        <v>3857</v>
      </c>
      <c r="Y903" t="s">
        <v>4848</v>
      </c>
      <c r="AG903" t="s">
        <v>3470</v>
      </c>
    </row>
    <row r="904" spans="21:33" x14ac:dyDescent="0.25">
      <c r="U904" t="s">
        <v>3858</v>
      </c>
      <c r="Y904" t="s">
        <v>4849</v>
      </c>
      <c r="AG904" t="s">
        <v>5717</v>
      </c>
    </row>
    <row r="905" spans="21:33" x14ac:dyDescent="0.25">
      <c r="U905" t="s">
        <v>3859</v>
      </c>
      <c r="Y905" t="s">
        <v>4850</v>
      </c>
      <c r="AG905" t="s">
        <v>4465</v>
      </c>
    </row>
    <row r="906" spans="21:33" x14ac:dyDescent="0.25">
      <c r="U906" t="s">
        <v>3860</v>
      </c>
      <c r="Y906" t="s">
        <v>4851</v>
      </c>
      <c r="AG906" t="s">
        <v>5718</v>
      </c>
    </row>
    <row r="907" spans="21:33" x14ac:dyDescent="0.25">
      <c r="U907" t="s">
        <v>3861</v>
      </c>
      <c r="Y907" t="s">
        <v>4852</v>
      </c>
      <c r="AG907" t="s">
        <v>3478</v>
      </c>
    </row>
    <row r="908" spans="21:33" x14ac:dyDescent="0.25">
      <c r="U908" t="s">
        <v>3862</v>
      </c>
      <c r="Y908" t="s">
        <v>4853</v>
      </c>
      <c r="AG908" t="s">
        <v>5719</v>
      </c>
    </row>
    <row r="909" spans="21:33" x14ac:dyDescent="0.25">
      <c r="U909" t="s">
        <v>3863</v>
      </c>
      <c r="Y909" t="s">
        <v>4854</v>
      </c>
      <c r="AG909" t="s">
        <v>4473</v>
      </c>
    </row>
    <row r="910" spans="21:33" x14ac:dyDescent="0.25">
      <c r="U910" t="s">
        <v>3864</v>
      </c>
      <c r="Y910" t="s">
        <v>4855</v>
      </c>
      <c r="AG910" t="s">
        <v>5720</v>
      </c>
    </row>
    <row r="911" spans="21:33" x14ac:dyDescent="0.25">
      <c r="U911" t="s">
        <v>3865</v>
      </c>
      <c r="Y911" t="s">
        <v>4856</v>
      </c>
      <c r="AG911" t="s">
        <v>3486</v>
      </c>
    </row>
    <row r="912" spans="21:33" x14ac:dyDescent="0.25">
      <c r="U912" t="s">
        <v>3866</v>
      </c>
      <c r="Y912" t="s">
        <v>4857</v>
      </c>
      <c r="AG912" t="s">
        <v>5721</v>
      </c>
    </row>
    <row r="913" spans="21:33" x14ac:dyDescent="0.25">
      <c r="U913" t="s">
        <v>3867</v>
      </c>
      <c r="Y913" t="s">
        <v>4858</v>
      </c>
      <c r="AG913" t="s">
        <v>4481</v>
      </c>
    </row>
    <row r="914" spans="21:33" x14ac:dyDescent="0.25">
      <c r="U914" t="s">
        <v>3868</v>
      </c>
      <c r="Y914" t="s">
        <v>4859</v>
      </c>
      <c r="AG914" t="s">
        <v>5050</v>
      </c>
    </row>
    <row r="915" spans="21:33" x14ac:dyDescent="0.25">
      <c r="U915" t="s">
        <v>3869</v>
      </c>
      <c r="Y915" t="s">
        <v>4860</v>
      </c>
      <c r="AG915" t="s">
        <v>3494</v>
      </c>
    </row>
    <row r="916" spans="21:33" x14ac:dyDescent="0.25">
      <c r="U916" t="s">
        <v>3870</v>
      </c>
      <c r="Y916" t="s">
        <v>4861</v>
      </c>
      <c r="AG916" t="s">
        <v>5722</v>
      </c>
    </row>
    <row r="917" spans="21:33" x14ac:dyDescent="0.25">
      <c r="U917" t="s">
        <v>3871</v>
      </c>
      <c r="Y917" t="s">
        <v>4862</v>
      </c>
      <c r="AG917" t="s">
        <v>4489</v>
      </c>
    </row>
    <row r="918" spans="21:33" x14ac:dyDescent="0.25">
      <c r="U918" t="s">
        <v>3872</v>
      </c>
      <c r="Y918" t="s">
        <v>4863</v>
      </c>
      <c r="AG918" t="s">
        <v>5723</v>
      </c>
    </row>
    <row r="919" spans="21:33" x14ac:dyDescent="0.25">
      <c r="U919" t="s">
        <v>3873</v>
      </c>
      <c r="Y919" t="s">
        <v>4864</v>
      </c>
      <c r="AG919" t="s">
        <v>3502</v>
      </c>
    </row>
    <row r="920" spans="21:33" x14ac:dyDescent="0.25">
      <c r="U920" t="s">
        <v>3874</v>
      </c>
      <c r="Y920" t="s">
        <v>4865</v>
      </c>
      <c r="AG920" t="s">
        <v>5724</v>
      </c>
    </row>
    <row r="921" spans="21:33" x14ac:dyDescent="0.25">
      <c r="U921" t="s">
        <v>3875</v>
      </c>
      <c r="Y921" t="s">
        <v>4866</v>
      </c>
      <c r="AG921" t="s">
        <v>4497</v>
      </c>
    </row>
    <row r="922" spans="21:33" x14ac:dyDescent="0.25">
      <c r="U922" t="s">
        <v>3876</v>
      </c>
      <c r="Y922" t="s">
        <v>4867</v>
      </c>
      <c r="AG922" t="s">
        <v>5725</v>
      </c>
    </row>
    <row r="923" spans="21:33" x14ac:dyDescent="0.25">
      <c r="U923" t="s">
        <v>3877</v>
      </c>
      <c r="Y923" t="s">
        <v>4868</v>
      </c>
      <c r="AG923" t="s">
        <v>3510</v>
      </c>
    </row>
    <row r="924" spans="21:33" x14ac:dyDescent="0.25">
      <c r="U924" t="s">
        <v>3878</v>
      </c>
      <c r="Y924" t="s">
        <v>4869</v>
      </c>
      <c r="AG924" t="s">
        <v>5575</v>
      </c>
    </row>
    <row r="925" spans="21:33" x14ac:dyDescent="0.25">
      <c r="U925" t="s">
        <v>3879</v>
      </c>
      <c r="Y925" t="s">
        <v>4870</v>
      </c>
      <c r="AG925" t="s">
        <v>4505</v>
      </c>
    </row>
    <row r="926" spans="21:33" x14ac:dyDescent="0.25">
      <c r="U926" t="s">
        <v>3880</v>
      </c>
      <c r="Y926" t="s">
        <v>4871</v>
      </c>
      <c r="AG926" t="s">
        <v>5726</v>
      </c>
    </row>
    <row r="927" spans="21:33" x14ac:dyDescent="0.25">
      <c r="U927" t="s">
        <v>3881</v>
      </c>
      <c r="Y927" t="s">
        <v>4872</v>
      </c>
      <c r="AG927" t="s">
        <v>3518</v>
      </c>
    </row>
    <row r="928" spans="21:33" x14ac:dyDescent="0.25">
      <c r="U928" t="s">
        <v>3882</v>
      </c>
      <c r="Y928" t="s">
        <v>4873</v>
      </c>
      <c r="AG928" t="s">
        <v>5727</v>
      </c>
    </row>
    <row r="929" spans="21:33" x14ac:dyDescent="0.25">
      <c r="U929" t="s">
        <v>3883</v>
      </c>
      <c r="Y929" t="s">
        <v>4874</v>
      </c>
      <c r="AG929" t="s">
        <v>4513</v>
      </c>
    </row>
    <row r="930" spans="21:33" x14ac:dyDescent="0.25">
      <c r="U930" t="s">
        <v>3884</v>
      </c>
      <c r="Y930" t="s">
        <v>4875</v>
      </c>
      <c r="AG930" t="s">
        <v>5728</v>
      </c>
    </row>
    <row r="931" spans="21:33" x14ac:dyDescent="0.25">
      <c r="U931" t="s">
        <v>3885</v>
      </c>
      <c r="Y931" t="s">
        <v>4876</v>
      </c>
      <c r="AG931" t="s">
        <v>3526</v>
      </c>
    </row>
    <row r="932" spans="21:33" x14ac:dyDescent="0.25">
      <c r="U932" t="s">
        <v>3886</v>
      </c>
      <c r="Y932" t="s">
        <v>4877</v>
      </c>
      <c r="AG932" t="s">
        <v>5729</v>
      </c>
    </row>
    <row r="933" spans="21:33" x14ac:dyDescent="0.25">
      <c r="U933" t="s">
        <v>3887</v>
      </c>
      <c r="Y933" t="s">
        <v>4878</v>
      </c>
      <c r="AG933" t="s">
        <v>4521</v>
      </c>
    </row>
    <row r="934" spans="21:33" x14ac:dyDescent="0.25">
      <c r="U934" t="s">
        <v>3888</v>
      </c>
      <c r="Y934" t="s">
        <v>4879</v>
      </c>
      <c r="AG934" t="s">
        <v>5730</v>
      </c>
    </row>
    <row r="935" spans="21:33" x14ac:dyDescent="0.25">
      <c r="U935" t="s">
        <v>3889</v>
      </c>
      <c r="Y935" t="s">
        <v>4880</v>
      </c>
      <c r="AG935" t="s">
        <v>3534</v>
      </c>
    </row>
    <row r="936" spans="21:33" x14ac:dyDescent="0.25">
      <c r="U936" t="s">
        <v>3890</v>
      </c>
      <c r="Y936" t="s">
        <v>4881</v>
      </c>
      <c r="AG936" t="s">
        <v>5731</v>
      </c>
    </row>
    <row r="937" spans="21:33" x14ac:dyDescent="0.25">
      <c r="U937" t="s">
        <v>3891</v>
      </c>
      <c r="Y937" t="s">
        <v>4882</v>
      </c>
      <c r="AG937" t="s">
        <v>4529</v>
      </c>
    </row>
    <row r="938" spans="21:33" x14ac:dyDescent="0.25">
      <c r="U938" t="s">
        <v>3892</v>
      </c>
      <c r="Y938" t="s">
        <v>4883</v>
      </c>
      <c r="AG938" t="s">
        <v>5732</v>
      </c>
    </row>
    <row r="939" spans="21:33" x14ac:dyDescent="0.25">
      <c r="U939" t="s">
        <v>3893</v>
      </c>
      <c r="Y939" t="s">
        <v>4884</v>
      </c>
      <c r="AG939" t="s">
        <v>3542</v>
      </c>
    </row>
    <row r="940" spans="21:33" x14ac:dyDescent="0.25">
      <c r="U940" t="s">
        <v>3894</v>
      </c>
      <c r="Y940" t="s">
        <v>4885</v>
      </c>
      <c r="AG940" t="s">
        <v>5733</v>
      </c>
    </row>
    <row r="941" spans="21:33" x14ac:dyDescent="0.25">
      <c r="U941" t="s">
        <v>3895</v>
      </c>
      <c r="Y941" t="s">
        <v>4886</v>
      </c>
      <c r="AG941" t="s">
        <v>4537</v>
      </c>
    </row>
    <row r="942" spans="21:33" x14ac:dyDescent="0.25">
      <c r="U942" t="s">
        <v>3896</v>
      </c>
      <c r="Y942" t="s">
        <v>4887</v>
      </c>
      <c r="AG942" t="s">
        <v>5734</v>
      </c>
    </row>
    <row r="943" spans="21:33" x14ac:dyDescent="0.25">
      <c r="U943" t="s">
        <v>3897</v>
      </c>
      <c r="Y943" t="s">
        <v>4888</v>
      </c>
      <c r="AG943" t="s">
        <v>3550</v>
      </c>
    </row>
    <row r="944" spans="21:33" x14ac:dyDescent="0.25">
      <c r="U944" t="s">
        <v>3898</v>
      </c>
      <c r="Y944" t="s">
        <v>4889</v>
      </c>
      <c r="AG944" t="s">
        <v>5735</v>
      </c>
    </row>
    <row r="945" spans="21:33" x14ac:dyDescent="0.25">
      <c r="U945" t="s">
        <v>3899</v>
      </c>
      <c r="Y945" t="s">
        <v>4890</v>
      </c>
      <c r="AG945" t="s">
        <v>4545</v>
      </c>
    </row>
    <row r="946" spans="21:33" x14ac:dyDescent="0.25">
      <c r="U946" t="s">
        <v>3900</v>
      </c>
      <c r="Y946" t="s">
        <v>4891</v>
      </c>
      <c r="AG946" t="s">
        <v>5736</v>
      </c>
    </row>
    <row r="947" spans="21:33" x14ac:dyDescent="0.25">
      <c r="U947" t="s">
        <v>3901</v>
      </c>
      <c r="Y947" t="s">
        <v>4892</v>
      </c>
      <c r="AG947" t="s">
        <v>3558</v>
      </c>
    </row>
    <row r="948" spans="21:33" x14ac:dyDescent="0.25">
      <c r="U948" t="s">
        <v>3902</v>
      </c>
      <c r="Y948" t="s">
        <v>4893</v>
      </c>
      <c r="AG948" t="s">
        <v>5737</v>
      </c>
    </row>
    <row r="949" spans="21:33" x14ac:dyDescent="0.25">
      <c r="U949" t="s">
        <v>3903</v>
      </c>
      <c r="Y949" t="s">
        <v>4894</v>
      </c>
      <c r="AG949" t="s">
        <v>4553</v>
      </c>
    </row>
    <row r="950" spans="21:33" x14ac:dyDescent="0.25">
      <c r="U950" t="s">
        <v>3904</v>
      </c>
      <c r="Y950" t="s">
        <v>4895</v>
      </c>
      <c r="AG950" t="s">
        <v>5738</v>
      </c>
    </row>
    <row r="951" spans="21:33" x14ac:dyDescent="0.25">
      <c r="U951" t="s">
        <v>3905</v>
      </c>
      <c r="Y951" t="s">
        <v>4896</v>
      </c>
      <c r="AG951" t="s">
        <v>3566</v>
      </c>
    </row>
    <row r="952" spans="21:33" x14ac:dyDescent="0.25">
      <c r="U952" t="s">
        <v>3906</v>
      </c>
      <c r="Y952" t="s">
        <v>4897</v>
      </c>
      <c r="AG952" t="s">
        <v>5739</v>
      </c>
    </row>
    <row r="953" spans="21:33" x14ac:dyDescent="0.25">
      <c r="U953" t="s">
        <v>3907</v>
      </c>
      <c r="Y953" t="s">
        <v>4898</v>
      </c>
      <c r="AG953" t="s">
        <v>4561</v>
      </c>
    </row>
    <row r="954" spans="21:33" x14ac:dyDescent="0.25">
      <c r="U954" t="s">
        <v>3908</v>
      </c>
      <c r="Y954" t="s">
        <v>4899</v>
      </c>
      <c r="AG954" t="s">
        <v>5740</v>
      </c>
    </row>
    <row r="955" spans="21:33" x14ac:dyDescent="0.25">
      <c r="U955" t="s">
        <v>3909</v>
      </c>
      <c r="Y955" t="s">
        <v>4900</v>
      </c>
      <c r="AG955" t="s">
        <v>3574</v>
      </c>
    </row>
    <row r="956" spans="21:33" x14ac:dyDescent="0.25">
      <c r="U956" t="s">
        <v>3910</v>
      </c>
      <c r="Y956" t="s">
        <v>4901</v>
      </c>
      <c r="AG956" t="s">
        <v>5741</v>
      </c>
    </row>
    <row r="957" spans="21:33" x14ac:dyDescent="0.25">
      <c r="U957" t="s">
        <v>3911</v>
      </c>
      <c r="Y957" t="s">
        <v>4902</v>
      </c>
      <c r="AG957" t="s">
        <v>4569</v>
      </c>
    </row>
    <row r="958" spans="21:33" x14ac:dyDescent="0.25">
      <c r="U958" t="s">
        <v>3912</v>
      </c>
      <c r="Y958" t="s">
        <v>4903</v>
      </c>
      <c r="AG958" t="s">
        <v>5742</v>
      </c>
    </row>
    <row r="959" spans="21:33" x14ac:dyDescent="0.25">
      <c r="U959" t="s">
        <v>3913</v>
      </c>
      <c r="Y959" t="s">
        <v>4904</v>
      </c>
      <c r="AG959" t="s">
        <v>3582</v>
      </c>
    </row>
    <row r="960" spans="21:33" x14ac:dyDescent="0.25">
      <c r="U960" t="s">
        <v>3914</v>
      </c>
      <c r="Y960" t="s">
        <v>4905</v>
      </c>
      <c r="AG960" t="s">
        <v>5743</v>
      </c>
    </row>
    <row r="961" spans="21:33" x14ac:dyDescent="0.25">
      <c r="U961" t="s">
        <v>3915</v>
      </c>
      <c r="Y961" t="s">
        <v>4906</v>
      </c>
      <c r="AG961" t="s">
        <v>4577</v>
      </c>
    </row>
    <row r="962" spans="21:33" x14ac:dyDescent="0.25">
      <c r="U962" t="s">
        <v>3916</v>
      </c>
      <c r="Y962" t="s">
        <v>4907</v>
      </c>
      <c r="AG962" t="s">
        <v>5744</v>
      </c>
    </row>
    <row r="963" spans="21:33" x14ac:dyDescent="0.25">
      <c r="U963" t="s">
        <v>3917</v>
      </c>
      <c r="Y963" t="s">
        <v>4908</v>
      </c>
      <c r="AG963" t="s">
        <v>3590</v>
      </c>
    </row>
    <row r="964" spans="21:33" x14ac:dyDescent="0.25">
      <c r="U964" t="s">
        <v>3918</v>
      </c>
      <c r="Y964" t="s">
        <v>4909</v>
      </c>
      <c r="AG964" t="s">
        <v>5579</v>
      </c>
    </row>
    <row r="965" spans="21:33" x14ac:dyDescent="0.25">
      <c r="U965" t="s">
        <v>3919</v>
      </c>
      <c r="Y965" t="s">
        <v>4910</v>
      </c>
      <c r="AG965" t="s">
        <v>4585</v>
      </c>
    </row>
    <row r="966" spans="21:33" x14ac:dyDescent="0.25">
      <c r="U966" t="s">
        <v>3920</v>
      </c>
      <c r="Y966" t="s">
        <v>4911</v>
      </c>
      <c r="AG966" t="s">
        <v>5745</v>
      </c>
    </row>
    <row r="967" spans="21:33" x14ac:dyDescent="0.25">
      <c r="U967" t="s">
        <v>3921</v>
      </c>
      <c r="Y967" t="s">
        <v>4912</v>
      </c>
      <c r="AG967" t="s">
        <v>3598</v>
      </c>
    </row>
    <row r="968" spans="21:33" x14ac:dyDescent="0.25">
      <c r="U968" t="s">
        <v>3922</v>
      </c>
      <c r="Y968" t="s">
        <v>4913</v>
      </c>
      <c r="AG968" t="s">
        <v>5746</v>
      </c>
    </row>
    <row r="969" spans="21:33" x14ac:dyDescent="0.25">
      <c r="U969" t="s">
        <v>3923</v>
      </c>
      <c r="Y969" t="s">
        <v>4914</v>
      </c>
      <c r="AG969" t="s">
        <v>4593</v>
      </c>
    </row>
    <row r="970" spans="21:33" x14ac:dyDescent="0.25">
      <c r="U970" t="s">
        <v>3924</v>
      </c>
      <c r="Y970" t="s">
        <v>4915</v>
      </c>
      <c r="AG970" t="s">
        <v>5747</v>
      </c>
    </row>
    <row r="971" spans="21:33" x14ac:dyDescent="0.25">
      <c r="U971" t="s">
        <v>3925</v>
      </c>
      <c r="Y971" t="s">
        <v>4916</v>
      </c>
      <c r="AG971" t="s">
        <v>3606</v>
      </c>
    </row>
    <row r="972" spans="21:33" x14ac:dyDescent="0.25">
      <c r="U972" t="s">
        <v>3926</v>
      </c>
      <c r="Y972" t="s">
        <v>4917</v>
      </c>
      <c r="AG972" t="s">
        <v>5748</v>
      </c>
    </row>
    <row r="973" spans="21:33" x14ac:dyDescent="0.25">
      <c r="U973" t="s">
        <v>3927</v>
      </c>
      <c r="Y973" t="s">
        <v>4918</v>
      </c>
      <c r="AG973" t="s">
        <v>4601</v>
      </c>
    </row>
    <row r="974" spans="21:33" x14ac:dyDescent="0.25">
      <c r="U974" t="s">
        <v>3928</v>
      </c>
      <c r="Y974" t="s">
        <v>4919</v>
      </c>
      <c r="AG974" t="s">
        <v>5749</v>
      </c>
    </row>
    <row r="975" spans="21:33" x14ac:dyDescent="0.25">
      <c r="U975" t="s">
        <v>3929</v>
      </c>
      <c r="Y975" t="s">
        <v>4920</v>
      </c>
      <c r="AG975" t="s">
        <v>3614</v>
      </c>
    </row>
    <row r="976" spans="21:33" x14ac:dyDescent="0.25">
      <c r="U976" t="s">
        <v>3930</v>
      </c>
      <c r="Y976" t="s">
        <v>4921</v>
      </c>
      <c r="AG976" t="s">
        <v>5750</v>
      </c>
    </row>
    <row r="977" spans="21:33" x14ac:dyDescent="0.25">
      <c r="U977" t="s">
        <v>3931</v>
      </c>
      <c r="Y977" t="s">
        <v>4922</v>
      </c>
      <c r="AG977" t="s">
        <v>4609</v>
      </c>
    </row>
    <row r="978" spans="21:33" x14ac:dyDescent="0.25">
      <c r="U978" t="s">
        <v>3932</v>
      </c>
      <c r="Y978" t="s">
        <v>4923</v>
      </c>
      <c r="AG978" t="s">
        <v>5751</v>
      </c>
    </row>
    <row r="979" spans="21:33" x14ac:dyDescent="0.25">
      <c r="U979" t="s">
        <v>3933</v>
      </c>
      <c r="Y979" t="s">
        <v>4924</v>
      </c>
      <c r="AG979" t="s">
        <v>3622</v>
      </c>
    </row>
    <row r="980" spans="21:33" x14ac:dyDescent="0.25">
      <c r="U980" t="s">
        <v>3934</v>
      </c>
      <c r="Y980" t="s">
        <v>4925</v>
      </c>
      <c r="AG980" t="s">
        <v>5752</v>
      </c>
    </row>
    <row r="981" spans="21:33" x14ac:dyDescent="0.25">
      <c r="U981" t="s">
        <v>3935</v>
      </c>
      <c r="Y981" t="s">
        <v>4926</v>
      </c>
      <c r="AG981" t="s">
        <v>4617</v>
      </c>
    </row>
    <row r="982" spans="21:33" x14ac:dyDescent="0.25">
      <c r="U982" t="s">
        <v>3936</v>
      </c>
      <c r="Y982" t="s">
        <v>4927</v>
      </c>
      <c r="AG982" t="s">
        <v>5753</v>
      </c>
    </row>
    <row r="983" spans="21:33" x14ac:dyDescent="0.25">
      <c r="U983" t="s">
        <v>3937</v>
      </c>
      <c r="Y983" t="s">
        <v>4928</v>
      </c>
      <c r="AG983" t="s">
        <v>3630</v>
      </c>
    </row>
    <row r="984" spans="21:33" x14ac:dyDescent="0.25">
      <c r="U984" t="s">
        <v>3938</v>
      </c>
      <c r="Y984" t="s">
        <v>4929</v>
      </c>
      <c r="AG984" t="s">
        <v>5754</v>
      </c>
    </row>
    <row r="985" spans="21:33" x14ac:dyDescent="0.25">
      <c r="U985" t="s">
        <v>3939</v>
      </c>
      <c r="Y985" t="s">
        <v>4930</v>
      </c>
      <c r="AG985" t="s">
        <v>4625</v>
      </c>
    </row>
    <row r="986" spans="21:33" x14ac:dyDescent="0.25">
      <c r="U986" t="s">
        <v>3940</v>
      </c>
      <c r="Y986" t="s">
        <v>4931</v>
      </c>
      <c r="AG986" t="s">
        <v>5755</v>
      </c>
    </row>
    <row r="987" spans="21:33" x14ac:dyDescent="0.25">
      <c r="U987" t="s">
        <v>3941</v>
      </c>
      <c r="Y987" t="s">
        <v>4932</v>
      </c>
      <c r="AG987" t="s">
        <v>3638</v>
      </c>
    </row>
    <row r="988" spans="21:33" x14ac:dyDescent="0.25">
      <c r="U988" t="s">
        <v>3942</v>
      </c>
      <c r="Y988" t="s">
        <v>4933</v>
      </c>
      <c r="AG988" t="s">
        <v>5756</v>
      </c>
    </row>
    <row r="989" spans="21:33" x14ac:dyDescent="0.25">
      <c r="U989" t="s">
        <v>3943</v>
      </c>
      <c r="Y989" t="s">
        <v>4934</v>
      </c>
      <c r="AG989" t="s">
        <v>4633</v>
      </c>
    </row>
    <row r="990" spans="21:33" x14ac:dyDescent="0.25">
      <c r="U990" t="s">
        <v>3944</v>
      </c>
      <c r="Y990" t="s">
        <v>4935</v>
      </c>
      <c r="AG990" t="s">
        <v>5757</v>
      </c>
    </row>
    <row r="991" spans="21:33" x14ac:dyDescent="0.25">
      <c r="U991" t="s">
        <v>3945</v>
      </c>
      <c r="Y991" t="s">
        <v>4936</v>
      </c>
      <c r="AG991" t="s">
        <v>3646</v>
      </c>
    </row>
    <row r="992" spans="21:33" x14ac:dyDescent="0.25">
      <c r="U992" t="s">
        <v>3946</v>
      </c>
      <c r="Y992" t="s">
        <v>4937</v>
      </c>
      <c r="AG992" t="s">
        <v>5758</v>
      </c>
    </row>
    <row r="993" spans="21:33" x14ac:dyDescent="0.25">
      <c r="U993" t="s">
        <v>3947</v>
      </c>
      <c r="Y993" t="s">
        <v>4938</v>
      </c>
      <c r="AG993" t="s">
        <v>4641</v>
      </c>
    </row>
    <row r="994" spans="21:33" x14ac:dyDescent="0.25">
      <c r="U994" t="s">
        <v>3948</v>
      </c>
      <c r="Y994" t="s">
        <v>4939</v>
      </c>
      <c r="AG994" t="s">
        <v>5759</v>
      </c>
    </row>
    <row r="995" spans="21:33" x14ac:dyDescent="0.25">
      <c r="U995" t="s">
        <v>3949</v>
      </c>
      <c r="Y995" t="s">
        <v>4940</v>
      </c>
      <c r="AG995" t="s">
        <v>3654</v>
      </c>
    </row>
    <row r="996" spans="21:33" x14ac:dyDescent="0.25">
      <c r="U996" t="s">
        <v>3950</v>
      </c>
      <c r="Y996" t="s">
        <v>4941</v>
      </c>
      <c r="AG996" t="s">
        <v>5760</v>
      </c>
    </row>
    <row r="997" spans="21:33" x14ac:dyDescent="0.25">
      <c r="U997" t="s">
        <v>3951</v>
      </c>
      <c r="Y997" t="s">
        <v>4942</v>
      </c>
      <c r="AG997" t="s">
        <v>4649</v>
      </c>
    </row>
    <row r="998" spans="21:33" x14ac:dyDescent="0.25">
      <c r="U998" t="s">
        <v>3952</v>
      </c>
      <c r="Y998" t="s">
        <v>4943</v>
      </c>
      <c r="AG998" t="s">
        <v>5761</v>
      </c>
    </row>
    <row r="999" spans="21:33" x14ac:dyDescent="0.25">
      <c r="U999" t="s">
        <v>3953</v>
      </c>
      <c r="Y999" t="s">
        <v>4944</v>
      </c>
      <c r="AG999" t="s">
        <v>3662</v>
      </c>
    </row>
    <row r="1000" spans="21:33" x14ac:dyDescent="0.25">
      <c r="U1000" t="s">
        <v>3954</v>
      </c>
      <c r="Y1000" t="s">
        <v>4945</v>
      </c>
      <c r="AG1000" t="s">
        <v>5762</v>
      </c>
    </row>
    <row r="1001" spans="21:33" x14ac:dyDescent="0.25">
      <c r="U1001" t="s">
        <v>3955</v>
      </c>
      <c r="Y1001" t="s">
        <v>4946</v>
      </c>
      <c r="AG1001" t="s">
        <v>4657</v>
      </c>
    </row>
    <row r="1002" spans="21:33" x14ac:dyDescent="0.25">
      <c r="U1002" t="s">
        <v>3956</v>
      </c>
      <c r="Y1002" t="s">
        <v>4947</v>
      </c>
      <c r="AG1002" t="s">
        <v>5763</v>
      </c>
    </row>
    <row r="1003" spans="21:33" x14ac:dyDescent="0.25">
      <c r="U1003" t="s">
        <v>3957</v>
      </c>
      <c r="Y1003" t="s">
        <v>4948</v>
      </c>
      <c r="AG1003" t="s">
        <v>3670</v>
      </c>
    </row>
    <row r="1004" spans="21:33" x14ac:dyDescent="0.25">
      <c r="U1004" t="s">
        <v>3958</v>
      </c>
      <c r="Y1004" t="s">
        <v>4949</v>
      </c>
      <c r="AG1004" t="s">
        <v>5583</v>
      </c>
    </row>
    <row r="1005" spans="21:33" x14ac:dyDescent="0.25">
      <c r="U1005" t="s">
        <v>3959</v>
      </c>
      <c r="Y1005" t="s">
        <v>4950</v>
      </c>
      <c r="AG1005" t="s">
        <v>4665</v>
      </c>
    </row>
    <row r="1006" spans="21:33" x14ac:dyDescent="0.25">
      <c r="U1006" t="s">
        <v>3960</v>
      </c>
      <c r="Y1006" t="s">
        <v>4951</v>
      </c>
      <c r="AG1006" t="s">
        <v>5764</v>
      </c>
    </row>
    <row r="1007" spans="21:33" x14ac:dyDescent="0.25">
      <c r="U1007" t="s">
        <v>3961</v>
      </c>
      <c r="Y1007" t="s">
        <v>4952</v>
      </c>
      <c r="AG1007" t="s">
        <v>3678</v>
      </c>
    </row>
    <row r="1008" spans="21:33" x14ac:dyDescent="0.25">
      <c r="U1008" t="s">
        <v>3962</v>
      </c>
      <c r="Y1008" t="s">
        <v>4953</v>
      </c>
      <c r="AG1008" t="s">
        <v>5765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G24"/>
  <sheetViews>
    <sheetView workbookViewId="0"/>
  </sheetViews>
  <sheetFormatPr defaultRowHeight="15" x14ac:dyDescent="0.25"/>
  <cols>
    <col min="1" max="1" width="10.7109375" customWidth="1"/>
    <col min="2" max="11" width="20.7109375" customWidth="1"/>
    <col min="13" max="13" width="10.7109375" customWidth="1"/>
    <col min="14" max="23" width="20.7109375" customWidth="1"/>
    <col min="25" max="25" width="10.7109375" customWidth="1"/>
    <col min="26" max="35" width="20.7109375" customWidth="1"/>
    <col min="37" max="37" width="10.7109375" customWidth="1"/>
    <col min="38" max="47" width="20.7109375" customWidth="1"/>
    <col min="49" max="49" width="10.7109375" customWidth="1"/>
    <col min="50" max="59" width="20.7109375" customWidth="1"/>
  </cols>
  <sheetData>
    <row r="1" spans="1:59" x14ac:dyDescent="0.25">
      <c r="A1" s="7" t="s">
        <v>2736</v>
      </c>
      <c r="B1" s="7"/>
      <c r="C1" s="7"/>
      <c r="D1" s="7"/>
      <c r="E1" s="7"/>
      <c r="F1" s="7"/>
      <c r="G1" s="7"/>
      <c r="H1" s="7"/>
      <c r="I1" s="7"/>
      <c r="J1" s="7"/>
      <c r="K1" s="7"/>
      <c r="L1" s="7"/>
      <c r="M1" s="7"/>
      <c r="N1" s="7"/>
      <c r="O1" s="7"/>
      <c r="P1" s="7"/>
      <c r="Q1" s="7"/>
      <c r="R1" s="7"/>
      <c r="S1" s="7"/>
      <c r="T1" s="7"/>
      <c r="U1" s="7"/>
      <c r="V1" s="7"/>
      <c r="W1" s="7"/>
      <c r="X1" s="7"/>
      <c r="Y1" s="7"/>
      <c r="Z1" s="7"/>
      <c r="AA1" s="7"/>
      <c r="AB1" s="7"/>
      <c r="AC1" s="7"/>
    </row>
    <row r="2" spans="1:59" x14ac:dyDescent="0.25">
      <c r="A2" s="7"/>
      <c r="B2" s="7"/>
      <c r="C2" s="7"/>
      <c r="D2" s="7"/>
      <c r="E2" s="7"/>
      <c r="F2" s="7"/>
      <c r="G2" s="7"/>
      <c r="H2" s="7"/>
      <c r="I2" s="7"/>
      <c r="J2" s="7"/>
      <c r="K2" s="7"/>
      <c r="L2" s="7"/>
      <c r="M2" s="7"/>
      <c r="N2" s="7"/>
      <c r="O2" s="7"/>
      <c r="P2" s="7"/>
      <c r="Q2" s="7"/>
      <c r="R2" s="7"/>
      <c r="S2" s="7"/>
      <c r="T2" s="7"/>
      <c r="U2" s="7"/>
      <c r="V2" s="7"/>
      <c r="W2" s="7"/>
      <c r="X2" s="7"/>
      <c r="Y2" s="7"/>
      <c r="Z2" s="7"/>
      <c r="AA2" s="7"/>
      <c r="AB2" s="7"/>
      <c r="AC2" s="7"/>
    </row>
    <row r="3" spans="1:59" x14ac:dyDescent="0.25">
      <c r="A3" s="8" t="s">
        <v>761</v>
      </c>
      <c r="B3" s="8">
        <v>42843</v>
      </c>
      <c r="C3" s="7"/>
      <c r="D3" s="7"/>
      <c r="E3" s="7"/>
      <c r="F3" s="7"/>
      <c r="G3" s="7"/>
      <c r="H3" s="7"/>
      <c r="I3" s="7"/>
      <c r="J3" s="7"/>
      <c r="K3" s="7"/>
      <c r="L3" s="7"/>
      <c r="M3" s="7"/>
      <c r="N3" s="7"/>
      <c r="O3" s="7"/>
      <c r="P3" s="7"/>
      <c r="Q3" s="7"/>
      <c r="R3" s="7"/>
      <c r="S3" s="7"/>
      <c r="T3" s="7"/>
      <c r="U3" s="7"/>
      <c r="V3" s="7"/>
      <c r="W3" s="7"/>
      <c r="X3" s="7"/>
      <c r="Y3" s="7"/>
      <c r="Z3" s="7"/>
      <c r="AA3" s="7"/>
      <c r="AB3" s="7"/>
      <c r="AC3" s="7"/>
    </row>
    <row r="4" spans="1:59" x14ac:dyDescent="0.25">
      <c r="A4" s="7" t="s">
        <v>762</v>
      </c>
      <c r="B4" s="9">
        <v>0.47986111111822538</v>
      </c>
      <c r="C4" s="7"/>
      <c r="D4" s="7"/>
      <c r="E4" s="7" t="s">
        <v>2734</v>
      </c>
      <c r="F4" s="7"/>
      <c r="G4" s="7"/>
      <c r="H4" s="7"/>
      <c r="I4" s="7"/>
      <c r="J4" s="7"/>
      <c r="K4" s="7"/>
      <c r="L4" s="7"/>
      <c r="M4" s="7"/>
      <c r="N4" s="7"/>
      <c r="O4" s="7"/>
      <c r="P4" s="7"/>
      <c r="Q4" s="7"/>
      <c r="R4" s="7"/>
      <c r="S4" s="7"/>
      <c r="T4" s="7"/>
      <c r="U4" s="7"/>
      <c r="V4" s="7"/>
      <c r="W4" s="7"/>
      <c r="X4" s="7"/>
      <c r="Y4" s="7"/>
      <c r="Z4" s="7"/>
      <c r="AA4" s="7"/>
      <c r="AB4" s="7"/>
      <c r="AC4" s="7"/>
    </row>
    <row r="5" spans="1:59" x14ac:dyDescent="0.25">
      <c r="A5" s="7" t="s">
        <v>763</v>
      </c>
      <c r="B5" s="9">
        <v>0.48402777776937</v>
      </c>
      <c r="C5" s="7"/>
      <c r="D5" s="7"/>
      <c r="E5" s="7" t="s">
        <v>2735</v>
      </c>
      <c r="F5" s="7"/>
      <c r="G5" s="7"/>
      <c r="H5" s="7"/>
      <c r="I5" s="7"/>
      <c r="J5" s="7"/>
      <c r="K5" s="7"/>
      <c r="L5" s="7"/>
      <c r="M5" s="7"/>
      <c r="N5" s="7"/>
      <c r="O5" s="7"/>
      <c r="P5" s="7"/>
      <c r="Q5" s="7"/>
      <c r="R5" s="7"/>
      <c r="S5" s="7"/>
      <c r="T5" s="7"/>
      <c r="U5" s="7"/>
      <c r="V5" s="7"/>
      <c r="W5" s="7"/>
      <c r="X5" s="7"/>
      <c r="Y5" s="7"/>
      <c r="Z5" s="7"/>
      <c r="AA5" s="7"/>
      <c r="AB5" s="7"/>
      <c r="AC5" s="7"/>
    </row>
    <row r="6" spans="1:59" x14ac:dyDescent="0.25">
      <c r="A6" s="7"/>
      <c r="B6" s="7"/>
      <c r="C6" s="7"/>
      <c r="D6" s="7"/>
      <c r="E6" s="7"/>
      <c r="F6" s="7"/>
      <c r="G6" s="7"/>
      <c r="H6" s="7"/>
      <c r="I6" s="7"/>
      <c r="J6" s="7"/>
      <c r="K6" s="7"/>
      <c r="L6" s="7"/>
      <c r="M6" s="7" t="s">
        <v>2927</v>
      </c>
      <c r="N6" s="7"/>
      <c r="O6" s="7"/>
      <c r="P6" s="7"/>
      <c r="Q6" s="7" t="s">
        <v>2928</v>
      </c>
      <c r="R6" s="7"/>
      <c r="S6" s="7"/>
      <c r="T6" s="7"/>
      <c r="U6" s="7"/>
      <c r="V6" s="7"/>
      <c r="W6" s="7"/>
      <c r="X6" s="7"/>
      <c r="Y6" s="7"/>
      <c r="Z6" s="7"/>
      <c r="AA6" s="7"/>
      <c r="AB6" s="7"/>
      <c r="AC6" s="7"/>
    </row>
    <row r="7" spans="1:59" x14ac:dyDescent="0.25">
      <c r="A7" s="7" t="s">
        <v>1528</v>
      </c>
      <c r="B7" s="7"/>
      <c r="C7" s="7"/>
      <c r="D7" s="7"/>
      <c r="E7" s="7"/>
      <c r="F7" s="7"/>
      <c r="G7" s="7"/>
      <c r="H7" s="7"/>
      <c r="I7" s="7" t="s">
        <v>2864</v>
      </c>
      <c r="J7" s="7"/>
      <c r="K7" s="7"/>
      <c r="L7" s="7"/>
      <c r="M7" s="7" t="s">
        <v>2906</v>
      </c>
      <c r="N7" s="7"/>
      <c r="O7" s="7"/>
      <c r="P7" s="7"/>
      <c r="Q7" s="7" t="s">
        <v>2929</v>
      </c>
      <c r="R7" s="7"/>
      <c r="S7" s="7"/>
      <c r="T7" s="7"/>
      <c r="U7" s="7" t="s">
        <v>2972</v>
      </c>
      <c r="V7" s="7"/>
      <c r="W7" s="7"/>
      <c r="X7" s="7"/>
      <c r="Y7" s="7" t="s">
        <v>3963</v>
      </c>
      <c r="Z7" s="7"/>
      <c r="AA7" s="7"/>
      <c r="AB7" s="7"/>
      <c r="AC7" s="7" t="s">
        <v>4954</v>
      </c>
    </row>
    <row r="8" spans="1:59" x14ac:dyDescent="0.25">
      <c r="A8" s="4" t="s">
        <v>1</v>
      </c>
      <c r="B8" s="4"/>
      <c r="C8" s="4"/>
      <c r="D8" s="4"/>
      <c r="E8" s="4"/>
      <c r="F8" s="4"/>
      <c r="G8" s="4"/>
      <c r="H8" s="4"/>
      <c r="I8" s="4"/>
      <c r="J8" s="4"/>
      <c r="K8" s="4"/>
      <c r="M8" s="4" t="s">
        <v>533</v>
      </c>
      <c r="N8" s="4"/>
      <c r="O8" s="4"/>
      <c r="P8" s="4"/>
      <c r="Q8" s="4"/>
      <c r="R8" s="4"/>
      <c r="S8" s="4"/>
      <c r="T8" s="4"/>
      <c r="U8" s="4"/>
      <c r="V8" s="4"/>
      <c r="W8" s="4"/>
      <c r="Y8" s="4" t="s">
        <v>1</v>
      </c>
      <c r="Z8" s="4"/>
      <c r="AA8" s="4"/>
      <c r="AB8" s="4"/>
      <c r="AC8" s="4"/>
      <c r="AD8" s="4"/>
      <c r="AE8" s="4"/>
      <c r="AF8" s="4"/>
      <c r="AG8" s="4"/>
      <c r="AH8" s="4"/>
      <c r="AI8" s="4"/>
      <c r="AK8" s="4" t="s">
        <v>1</v>
      </c>
      <c r="AL8" s="4"/>
      <c r="AM8" s="4"/>
      <c r="AN8" s="4"/>
      <c r="AO8" s="4"/>
      <c r="AP8" s="4"/>
      <c r="AQ8" s="4"/>
      <c r="AR8" s="4"/>
      <c r="AS8" s="4"/>
      <c r="AT8" s="4"/>
      <c r="AU8" s="4"/>
      <c r="AW8" s="4" t="s">
        <v>1</v>
      </c>
      <c r="AX8" s="4"/>
      <c r="AY8" s="4"/>
      <c r="AZ8" s="4"/>
      <c r="BA8" s="4"/>
      <c r="BB8" s="4"/>
      <c r="BC8" s="4"/>
      <c r="BD8" s="4"/>
      <c r="BE8" s="4"/>
      <c r="BF8" s="4"/>
      <c r="BG8" s="4"/>
    </row>
    <row r="9" spans="1:59" x14ac:dyDescent="0.25">
      <c r="A9" s="4" t="s">
        <v>2659</v>
      </c>
      <c r="B9" s="4" t="s">
        <v>2660</v>
      </c>
      <c r="C9" s="4" t="s">
        <v>2661</v>
      </c>
      <c r="D9" s="4" t="s">
        <v>2662</v>
      </c>
      <c r="E9" s="4" t="s">
        <v>2663</v>
      </c>
      <c r="F9" s="4" t="s">
        <v>2664</v>
      </c>
      <c r="G9" s="4" t="s">
        <v>2665</v>
      </c>
      <c r="H9" s="4" t="s">
        <v>2666</v>
      </c>
      <c r="I9" s="4" t="s">
        <v>2667</v>
      </c>
      <c r="J9" s="4" t="s">
        <v>2668</v>
      </c>
      <c r="K9" s="4" t="s">
        <v>2669</v>
      </c>
      <c r="M9" s="4" t="s">
        <v>2659</v>
      </c>
      <c r="N9" s="4" t="s">
        <v>2660</v>
      </c>
      <c r="O9" s="4" t="s">
        <v>2661</v>
      </c>
      <c r="P9" s="4" t="s">
        <v>2662</v>
      </c>
      <c r="Q9" s="4" t="s">
        <v>2663</v>
      </c>
      <c r="R9" s="4" t="s">
        <v>2664</v>
      </c>
      <c r="S9" s="4" t="s">
        <v>2665</v>
      </c>
      <c r="T9" s="4" t="s">
        <v>2666</v>
      </c>
      <c r="U9" s="4" t="s">
        <v>2667</v>
      </c>
      <c r="V9" s="4" t="s">
        <v>2668</v>
      </c>
      <c r="W9" s="4" t="s">
        <v>2669</v>
      </c>
      <c r="Y9" s="4" t="s">
        <v>2659</v>
      </c>
      <c r="Z9" s="4" t="s">
        <v>2660</v>
      </c>
      <c r="AA9" s="4" t="s">
        <v>2661</v>
      </c>
      <c r="AB9" s="4" t="s">
        <v>2662</v>
      </c>
      <c r="AC9" s="4" t="s">
        <v>2663</v>
      </c>
      <c r="AD9" s="4" t="s">
        <v>2664</v>
      </c>
      <c r="AE9" s="4" t="s">
        <v>2665</v>
      </c>
      <c r="AF9" s="4" t="s">
        <v>2666</v>
      </c>
      <c r="AG9" s="4" t="s">
        <v>2667</v>
      </c>
      <c r="AH9" s="4" t="s">
        <v>2668</v>
      </c>
      <c r="AI9" s="4" t="s">
        <v>2669</v>
      </c>
      <c r="AK9" s="4" t="s">
        <v>2659</v>
      </c>
      <c r="AL9" s="4" t="s">
        <v>2660</v>
      </c>
      <c r="AM9" s="4" t="s">
        <v>2661</v>
      </c>
      <c r="AN9" s="4" t="s">
        <v>2662</v>
      </c>
      <c r="AO9" s="4" t="s">
        <v>2663</v>
      </c>
      <c r="AP9" s="4" t="s">
        <v>2664</v>
      </c>
      <c r="AQ9" s="4" t="s">
        <v>2665</v>
      </c>
      <c r="AR9" s="4" t="s">
        <v>2666</v>
      </c>
      <c r="AS9" s="4" t="s">
        <v>2667</v>
      </c>
      <c r="AT9" s="4" t="s">
        <v>2668</v>
      </c>
      <c r="AU9" s="4" t="s">
        <v>2669</v>
      </c>
      <c r="AW9" s="4" t="s">
        <v>2659</v>
      </c>
      <c r="AX9" s="4" t="s">
        <v>2660</v>
      </c>
      <c r="AY9" s="4" t="s">
        <v>2661</v>
      </c>
      <c r="AZ9" s="4" t="s">
        <v>2662</v>
      </c>
      <c r="BA9" s="4" t="s">
        <v>2663</v>
      </c>
      <c r="BB9" s="4" t="s">
        <v>2664</v>
      </c>
      <c r="BC9" s="4" t="s">
        <v>2665</v>
      </c>
      <c r="BD9" s="4" t="s">
        <v>2666</v>
      </c>
      <c r="BE9" s="4" t="s">
        <v>2667</v>
      </c>
      <c r="BF9" s="4" t="s">
        <v>2668</v>
      </c>
      <c r="BG9" s="4" t="s">
        <v>2669</v>
      </c>
    </row>
    <row r="10" spans="1:59" x14ac:dyDescent="0.25">
      <c r="A10" s="4">
        <v>1</v>
      </c>
      <c r="B10" s="4">
        <v>2399</v>
      </c>
      <c r="C10" s="4">
        <v>2822</v>
      </c>
      <c r="D10" s="4">
        <v>564359</v>
      </c>
      <c r="E10" s="4">
        <v>564352</v>
      </c>
      <c r="F10" s="4">
        <v>100000</v>
      </c>
      <c r="G10" s="4">
        <v>100032</v>
      </c>
      <c r="H10" s="4">
        <v>45</v>
      </c>
      <c r="I10" s="4">
        <v>20680</v>
      </c>
      <c r="J10" s="4">
        <v>210935</v>
      </c>
      <c r="K10" s="4">
        <v>210944</v>
      </c>
      <c r="M10" s="4">
        <v>1</v>
      </c>
      <c r="N10" s="4">
        <v>2428</v>
      </c>
      <c r="O10" s="4">
        <v>2787</v>
      </c>
      <c r="P10" s="4">
        <v>557469</v>
      </c>
      <c r="Q10" s="4">
        <v>557440</v>
      </c>
      <c r="R10" s="4">
        <v>100000</v>
      </c>
      <c r="S10" s="4">
        <v>100032</v>
      </c>
      <c r="T10" s="4">
        <v>438</v>
      </c>
      <c r="U10" s="4">
        <v>31466</v>
      </c>
      <c r="V10" s="4">
        <v>221770</v>
      </c>
      <c r="W10" s="4">
        <v>221760</v>
      </c>
      <c r="Y10" s="4">
        <v>1</v>
      </c>
      <c r="Z10" s="4">
        <v>2395</v>
      </c>
      <c r="AA10" s="4">
        <v>2828</v>
      </c>
      <c r="AB10" s="4">
        <v>565609</v>
      </c>
      <c r="AC10" s="4">
        <v>565632</v>
      </c>
      <c r="AD10" s="4">
        <v>100000</v>
      </c>
      <c r="AE10" s="4">
        <v>100032</v>
      </c>
      <c r="AF10" s="4">
        <v>0</v>
      </c>
      <c r="AG10" s="4">
        <v>13372</v>
      </c>
      <c r="AH10" s="4">
        <v>209980</v>
      </c>
      <c r="AI10" s="4">
        <v>209984</v>
      </c>
      <c r="AK10" s="4">
        <v>1</v>
      </c>
      <c r="AL10" s="4">
        <v>2408</v>
      </c>
      <c r="AM10" s="4">
        <v>2811</v>
      </c>
      <c r="AN10" s="4">
        <v>562203</v>
      </c>
      <c r="AO10" s="4">
        <v>562176</v>
      </c>
      <c r="AP10" s="4">
        <v>100000</v>
      </c>
      <c r="AQ10" s="4">
        <v>100032</v>
      </c>
      <c r="AR10" s="4">
        <v>0</v>
      </c>
      <c r="AS10" s="4">
        <v>14076</v>
      </c>
      <c r="AT10" s="4">
        <v>210684</v>
      </c>
      <c r="AU10" s="4">
        <v>210688</v>
      </c>
      <c r="AW10" s="4">
        <v>1</v>
      </c>
      <c r="AX10" s="4">
        <v>2483</v>
      </c>
      <c r="AY10" s="4">
        <v>2721</v>
      </c>
      <c r="AZ10" s="4">
        <v>544235</v>
      </c>
      <c r="BA10" s="4">
        <v>544256</v>
      </c>
      <c r="BB10" s="4">
        <v>100000</v>
      </c>
      <c r="BC10" s="4">
        <v>100032</v>
      </c>
      <c r="BD10" s="4">
        <v>0</v>
      </c>
      <c r="BE10" s="4">
        <v>18707</v>
      </c>
      <c r="BF10" s="4">
        <v>210249</v>
      </c>
      <c r="BG10" s="4">
        <v>210240</v>
      </c>
    </row>
    <row r="11" spans="1:59" x14ac:dyDescent="0.25">
      <c r="A11" s="4">
        <v>2</v>
      </c>
      <c r="B11" s="4">
        <v>2399</v>
      </c>
      <c r="C11" s="4">
        <v>2822</v>
      </c>
      <c r="D11" s="4">
        <v>564359</v>
      </c>
      <c r="E11" s="4">
        <v>564352</v>
      </c>
      <c r="F11" s="4">
        <v>100000</v>
      </c>
      <c r="G11" s="4">
        <v>100032</v>
      </c>
      <c r="H11" s="4">
        <v>42</v>
      </c>
      <c r="I11" s="4">
        <v>20585</v>
      </c>
      <c r="J11" s="4">
        <v>210839</v>
      </c>
      <c r="K11" s="4">
        <v>210816</v>
      </c>
      <c r="M11" s="4">
        <v>2</v>
      </c>
      <c r="N11" s="4">
        <v>2427</v>
      </c>
      <c r="O11" s="4">
        <v>2788</v>
      </c>
      <c r="P11" s="4">
        <v>557547</v>
      </c>
      <c r="Q11" s="4">
        <v>557568</v>
      </c>
      <c r="R11" s="4">
        <v>100000</v>
      </c>
      <c r="S11" s="4">
        <v>100032</v>
      </c>
      <c r="T11" s="4">
        <v>452</v>
      </c>
      <c r="U11" s="4">
        <v>31748</v>
      </c>
      <c r="V11" s="4">
        <v>222053</v>
      </c>
      <c r="W11" s="4">
        <v>222080</v>
      </c>
      <c r="Y11" s="4">
        <v>2</v>
      </c>
      <c r="Z11" s="4">
        <v>2394</v>
      </c>
      <c r="AA11" s="4">
        <v>2829</v>
      </c>
      <c r="AB11" s="4">
        <v>565765</v>
      </c>
      <c r="AC11" s="4">
        <v>565760</v>
      </c>
      <c r="AD11" s="4">
        <v>100000</v>
      </c>
      <c r="AE11" s="4">
        <v>100032</v>
      </c>
      <c r="AF11" s="4">
        <v>0</v>
      </c>
      <c r="AG11" s="4">
        <v>13520</v>
      </c>
      <c r="AH11" s="4">
        <v>210128</v>
      </c>
      <c r="AI11" s="4">
        <v>210112</v>
      </c>
      <c r="AK11" s="4">
        <v>2</v>
      </c>
      <c r="AL11" s="4">
        <v>2408</v>
      </c>
      <c r="AM11" s="4">
        <v>2811</v>
      </c>
      <c r="AN11" s="4">
        <v>562156</v>
      </c>
      <c r="AO11" s="4">
        <v>562176</v>
      </c>
      <c r="AP11" s="4">
        <v>100000</v>
      </c>
      <c r="AQ11" s="4">
        <v>100032</v>
      </c>
      <c r="AR11" s="4">
        <v>0</v>
      </c>
      <c r="AS11" s="4">
        <v>13429</v>
      </c>
      <c r="AT11" s="4">
        <v>210546</v>
      </c>
      <c r="AU11" s="4">
        <v>210560</v>
      </c>
      <c r="AW11" s="4">
        <v>2</v>
      </c>
      <c r="AX11" s="4">
        <v>2483</v>
      </c>
      <c r="AY11" s="4">
        <v>2720</v>
      </c>
      <c r="AZ11" s="4">
        <v>544110</v>
      </c>
      <c r="BA11" s="4">
        <v>544128</v>
      </c>
      <c r="BB11" s="4">
        <v>100000</v>
      </c>
      <c r="BC11" s="4">
        <v>100032</v>
      </c>
      <c r="BD11" s="4">
        <v>0</v>
      </c>
      <c r="BE11" s="4">
        <v>19160</v>
      </c>
      <c r="BF11" s="4">
        <v>210703</v>
      </c>
      <c r="BG11" s="4">
        <v>210688</v>
      </c>
    </row>
    <row r="12" spans="1:59" x14ac:dyDescent="0.25">
      <c r="A12" s="4">
        <v>3</v>
      </c>
      <c r="B12" s="4">
        <v>2399</v>
      </c>
      <c r="C12" s="4">
        <v>2822</v>
      </c>
      <c r="D12" s="4">
        <v>564422</v>
      </c>
      <c r="E12" s="4">
        <v>564416</v>
      </c>
      <c r="F12" s="4">
        <v>100000</v>
      </c>
      <c r="G12" s="4">
        <v>100032</v>
      </c>
      <c r="H12" s="4">
        <v>22</v>
      </c>
      <c r="I12" s="4">
        <v>20012</v>
      </c>
      <c r="J12" s="4">
        <v>210264</v>
      </c>
      <c r="K12" s="4">
        <v>210240</v>
      </c>
      <c r="M12" s="4">
        <v>3</v>
      </c>
      <c r="N12" s="4">
        <v>2426</v>
      </c>
      <c r="O12" s="4">
        <v>2789</v>
      </c>
      <c r="P12" s="4">
        <v>557766</v>
      </c>
      <c r="Q12" s="4">
        <v>557760</v>
      </c>
      <c r="R12" s="4">
        <v>100000</v>
      </c>
      <c r="S12" s="4">
        <v>100032</v>
      </c>
      <c r="T12" s="4">
        <v>455</v>
      </c>
      <c r="U12" s="4">
        <v>31810</v>
      </c>
      <c r="V12" s="4">
        <v>222116</v>
      </c>
      <c r="W12" s="4">
        <v>222144</v>
      </c>
      <c r="Y12" s="4">
        <v>3</v>
      </c>
      <c r="Z12" s="4">
        <v>2394</v>
      </c>
      <c r="AA12" s="4">
        <v>2829</v>
      </c>
      <c r="AB12" s="4">
        <v>565828</v>
      </c>
      <c r="AC12" s="4">
        <v>565824</v>
      </c>
      <c r="AD12" s="4">
        <v>100000</v>
      </c>
      <c r="AE12" s="4">
        <v>100032</v>
      </c>
      <c r="AF12" s="4">
        <v>0</v>
      </c>
      <c r="AG12" s="4">
        <v>13365</v>
      </c>
      <c r="AH12" s="4">
        <v>209973</v>
      </c>
      <c r="AI12" s="4">
        <v>209984</v>
      </c>
      <c r="AK12" s="4">
        <v>3</v>
      </c>
      <c r="AL12" s="4">
        <v>2409</v>
      </c>
      <c r="AM12" s="4">
        <v>2810</v>
      </c>
      <c r="AN12" s="4">
        <v>562125</v>
      </c>
      <c r="AO12" s="4">
        <v>562112</v>
      </c>
      <c r="AP12" s="4">
        <v>100000</v>
      </c>
      <c r="AQ12" s="4">
        <v>100032</v>
      </c>
      <c r="AR12" s="4">
        <v>0</v>
      </c>
      <c r="AS12" s="4">
        <v>13619</v>
      </c>
      <c r="AT12" s="4">
        <v>210227</v>
      </c>
      <c r="AU12" s="4">
        <v>210240</v>
      </c>
      <c r="AW12" s="4">
        <v>3</v>
      </c>
      <c r="AX12" s="4">
        <v>2483</v>
      </c>
      <c r="AY12" s="4">
        <v>2720</v>
      </c>
      <c r="AZ12" s="4">
        <v>544031</v>
      </c>
      <c r="BA12" s="4">
        <v>544000</v>
      </c>
      <c r="BB12" s="4">
        <v>100000</v>
      </c>
      <c r="BC12" s="4">
        <v>100032</v>
      </c>
      <c r="BD12" s="4">
        <v>0</v>
      </c>
      <c r="BE12" s="4">
        <v>18950</v>
      </c>
      <c r="BF12" s="4">
        <v>210493</v>
      </c>
      <c r="BG12" s="4">
        <v>210496</v>
      </c>
    </row>
    <row r="13" spans="1:59" x14ac:dyDescent="0.25">
      <c r="A13" s="4">
        <v>4</v>
      </c>
      <c r="B13" s="4">
        <v>2399</v>
      </c>
      <c r="C13" s="4">
        <v>2822</v>
      </c>
      <c r="D13" s="4">
        <v>564453</v>
      </c>
      <c r="E13" s="4">
        <v>564480</v>
      </c>
      <c r="F13" s="4">
        <v>100000</v>
      </c>
      <c r="G13" s="4">
        <v>100032</v>
      </c>
      <c r="H13" s="4">
        <v>30</v>
      </c>
      <c r="I13" s="4">
        <v>20238</v>
      </c>
      <c r="J13" s="4">
        <v>210491</v>
      </c>
      <c r="K13" s="4">
        <v>210496</v>
      </c>
      <c r="M13" s="4">
        <v>4</v>
      </c>
      <c r="N13" s="4">
        <v>2426</v>
      </c>
      <c r="O13" s="4">
        <v>2790</v>
      </c>
      <c r="P13" s="4">
        <v>557953</v>
      </c>
      <c r="Q13" s="4">
        <v>557952</v>
      </c>
      <c r="R13" s="4">
        <v>100000</v>
      </c>
      <c r="S13" s="4">
        <v>100032</v>
      </c>
      <c r="T13" s="4">
        <v>453</v>
      </c>
      <c r="U13" s="4">
        <v>31796</v>
      </c>
      <c r="V13" s="4">
        <v>222102</v>
      </c>
      <c r="W13" s="4">
        <v>222080</v>
      </c>
      <c r="Y13" s="4">
        <v>4</v>
      </c>
      <c r="Z13" s="4">
        <v>2394</v>
      </c>
      <c r="AA13" s="4">
        <v>2829</v>
      </c>
      <c r="AB13" s="4">
        <v>565750</v>
      </c>
      <c r="AC13" s="4">
        <v>565760</v>
      </c>
      <c r="AD13" s="4">
        <v>100000</v>
      </c>
      <c r="AE13" s="4">
        <v>100032</v>
      </c>
      <c r="AF13" s="4">
        <v>0</v>
      </c>
      <c r="AG13" s="4">
        <v>13479</v>
      </c>
      <c r="AH13" s="4">
        <v>210087</v>
      </c>
      <c r="AI13" s="4">
        <v>210112</v>
      </c>
      <c r="AK13" s="4">
        <v>4</v>
      </c>
      <c r="AL13" s="4">
        <v>2409</v>
      </c>
      <c r="AM13" s="4">
        <v>2810</v>
      </c>
      <c r="AN13" s="4">
        <v>562047</v>
      </c>
      <c r="AO13" s="4">
        <v>562048</v>
      </c>
      <c r="AP13" s="4">
        <v>100000</v>
      </c>
      <c r="AQ13" s="4">
        <v>100032</v>
      </c>
      <c r="AR13" s="4">
        <v>0</v>
      </c>
      <c r="AS13" s="4">
        <v>14010</v>
      </c>
      <c r="AT13" s="4">
        <v>210618</v>
      </c>
      <c r="AU13" s="4">
        <v>210624</v>
      </c>
      <c r="AW13" s="4">
        <v>4</v>
      </c>
      <c r="AX13" s="4">
        <v>2484</v>
      </c>
      <c r="AY13" s="4">
        <v>2719</v>
      </c>
      <c r="AZ13" s="4">
        <v>543969</v>
      </c>
      <c r="BA13" s="4">
        <v>544000</v>
      </c>
      <c r="BB13" s="4">
        <v>100000</v>
      </c>
      <c r="BC13" s="4">
        <v>100032</v>
      </c>
      <c r="BD13" s="4">
        <v>0</v>
      </c>
      <c r="BE13" s="4">
        <v>19252</v>
      </c>
      <c r="BF13" s="4">
        <v>210796</v>
      </c>
      <c r="BG13" s="4">
        <v>210816</v>
      </c>
    </row>
    <row r="14" spans="1:59" x14ac:dyDescent="0.25">
      <c r="A14" s="4">
        <v>5</v>
      </c>
      <c r="B14" s="4">
        <v>2399</v>
      </c>
      <c r="C14" s="4">
        <v>2822</v>
      </c>
      <c r="D14" s="4">
        <v>564453</v>
      </c>
      <c r="E14" s="4">
        <v>564480</v>
      </c>
      <c r="F14" s="4">
        <v>100000</v>
      </c>
      <c r="G14" s="4">
        <v>100032</v>
      </c>
      <c r="H14" s="4">
        <v>45</v>
      </c>
      <c r="I14" s="4">
        <v>20674</v>
      </c>
      <c r="J14" s="4">
        <v>210929</v>
      </c>
      <c r="K14" s="4">
        <v>210944</v>
      </c>
      <c r="M14" s="4">
        <v>5</v>
      </c>
      <c r="N14" s="4">
        <v>2425</v>
      </c>
      <c r="O14" s="4">
        <v>2791</v>
      </c>
      <c r="P14" s="4">
        <v>558156</v>
      </c>
      <c r="Q14" s="4">
        <v>558144</v>
      </c>
      <c r="R14" s="4">
        <v>100000</v>
      </c>
      <c r="S14" s="4">
        <v>100032</v>
      </c>
      <c r="T14" s="4">
        <v>464</v>
      </c>
      <c r="U14" s="4">
        <v>32030</v>
      </c>
      <c r="V14" s="4">
        <v>222337</v>
      </c>
      <c r="W14" s="4">
        <v>222336</v>
      </c>
      <c r="Y14" s="4">
        <v>5</v>
      </c>
      <c r="Z14" s="4">
        <v>2395</v>
      </c>
      <c r="AA14" s="4">
        <v>2828</v>
      </c>
      <c r="AB14" s="4">
        <v>565641</v>
      </c>
      <c r="AC14" s="4">
        <v>565632</v>
      </c>
      <c r="AD14" s="4">
        <v>100000</v>
      </c>
      <c r="AE14" s="4">
        <v>100032</v>
      </c>
      <c r="AF14" s="4">
        <v>0</v>
      </c>
      <c r="AG14" s="4">
        <v>13190</v>
      </c>
      <c r="AH14" s="4">
        <v>209798</v>
      </c>
      <c r="AI14" s="4">
        <v>209792</v>
      </c>
      <c r="AK14" s="4">
        <v>5</v>
      </c>
      <c r="AL14" s="4">
        <v>2409</v>
      </c>
      <c r="AM14" s="4">
        <v>2810</v>
      </c>
      <c r="AN14" s="4">
        <v>561969</v>
      </c>
      <c r="AO14" s="4">
        <v>561984</v>
      </c>
      <c r="AP14" s="4">
        <v>100000</v>
      </c>
      <c r="AQ14" s="4">
        <v>100032</v>
      </c>
      <c r="AR14" s="4">
        <v>0</v>
      </c>
      <c r="AS14" s="4">
        <v>13902</v>
      </c>
      <c r="AT14" s="4">
        <v>210510</v>
      </c>
      <c r="AU14" s="4">
        <v>210496</v>
      </c>
      <c r="AW14" s="4">
        <v>5</v>
      </c>
      <c r="AX14" s="4">
        <v>2484</v>
      </c>
      <c r="AY14" s="4">
        <v>2719</v>
      </c>
      <c r="AZ14" s="4">
        <v>543953</v>
      </c>
      <c r="BA14" s="4">
        <v>543936</v>
      </c>
      <c r="BB14" s="4">
        <v>100000</v>
      </c>
      <c r="BC14" s="4">
        <v>100032</v>
      </c>
      <c r="BD14" s="4">
        <v>0</v>
      </c>
      <c r="BE14" s="4">
        <v>19251</v>
      </c>
      <c r="BF14" s="4">
        <v>210795</v>
      </c>
      <c r="BG14" s="4">
        <v>210816</v>
      </c>
    </row>
    <row r="15" spans="1:59" x14ac:dyDescent="0.25">
      <c r="A15" s="4">
        <v>6</v>
      </c>
      <c r="B15" s="4">
        <v>2399</v>
      </c>
      <c r="C15" s="4">
        <v>2822</v>
      </c>
      <c r="D15" s="4">
        <v>564437</v>
      </c>
      <c r="E15" s="4">
        <v>564416</v>
      </c>
      <c r="F15" s="4">
        <v>100000</v>
      </c>
      <c r="G15" s="4">
        <v>100032</v>
      </c>
      <c r="H15" s="4">
        <v>42</v>
      </c>
      <c r="I15" s="4">
        <v>20556</v>
      </c>
      <c r="J15" s="4">
        <v>210810</v>
      </c>
      <c r="K15" s="4">
        <v>210816</v>
      </c>
      <c r="M15" s="4">
        <v>6</v>
      </c>
      <c r="N15" s="4">
        <v>2424</v>
      </c>
      <c r="O15" s="4">
        <v>2792</v>
      </c>
      <c r="P15" s="4">
        <v>558438</v>
      </c>
      <c r="Q15" s="4">
        <v>558464</v>
      </c>
      <c r="R15" s="4">
        <v>100000</v>
      </c>
      <c r="S15" s="4">
        <v>100032</v>
      </c>
      <c r="T15" s="4">
        <v>453</v>
      </c>
      <c r="U15" s="4">
        <v>31782</v>
      </c>
      <c r="V15" s="4">
        <v>222088</v>
      </c>
      <c r="W15" s="4">
        <v>222080</v>
      </c>
      <c r="Y15" s="4">
        <v>6</v>
      </c>
      <c r="Z15" s="4">
        <v>2395</v>
      </c>
      <c r="AA15" s="4">
        <v>2828</v>
      </c>
      <c r="AB15" s="4">
        <v>565578</v>
      </c>
      <c r="AC15" s="4">
        <v>565568</v>
      </c>
      <c r="AD15" s="4">
        <v>100000</v>
      </c>
      <c r="AE15" s="4">
        <v>100032</v>
      </c>
      <c r="AF15" s="4">
        <v>0</v>
      </c>
      <c r="AG15" s="4">
        <v>13664</v>
      </c>
      <c r="AH15" s="4">
        <v>210272</v>
      </c>
      <c r="AI15" s="4">
        <v>210304</v>
      </c>
      <c r="AK15" s="4">
        <v>6</v>
      </c>
      <c r="AL15" s="4">
        <v>2410</v>
      </c>
      <c r="AM15" s="4">
        <v>2809</v>
      </c>
      <c r="AN15" s="4">
        <v>561937</v>
      </c>
      <c r="AO15" s="4">
        <v>561920</v>
      </c>
      <c r="AP15" s="4">
        <v>100000</v>
      </c>
      <c r="AQ15" s="4">
        <v>100032</v>
      </c>
      <c r="AR15" s="4">
        <v>0</v>
      </c>
      <c r="AS15" s="4">
        <v>13988</v>
      </c>
      <c r="AT15" s="4">
        <v>210596</v>
      </c>
      <c r="AU15" s="4">
        <v>210624</v>
      </c>
      <c r="AW15" s="4">
        <v>6</v>
      </c>
      <c r="AX15" s="4">
        <v>2483</v>
      </c>
      <c r="AY15" s="4">
        <v>2720</v>
      </c>
      <c r="AZ15" s="4">
        <v>543984</v>
      </c>
      <c r="BA15" s="4">
        <v>544000</v>
      </c>
      <c r="BB15" s="4">
        <v>100000</v>
      </c>
      <c r="BC15" s="4">
        <v>100032</v>
      </c>
      <c r="BD15" s="4">
        <v>0</v>
      </c>
      <c r="BE15" s="4">
        <v>19356</v>
      </c>
      <c r="BF15" s="4">
        <v>210900</v>
      </c>
      <c r="BG15" s="4">
        <v>210880</v>
      </c>
    </row>
    <row r="16" spans="1:59" x14ac:dyDescent="0.25">
      <c r="A16" s="4">
        <v>7</v>
      </c>
      <c r="B16" s="4">
        <v>2399</v>
      </c>
      <c r="C16" s="4">
        <v>2822</v>
      </c>
      <c r="D16" s="4">
        <v>564406</v>
      </c>
      <c r="E16" s="4">
        <v>564416</v>
      </c>
      <c r="F16" s="4">
        <v>100000</v>
      </c>
      <c r="G16" s="4">
        <v>100032</v>
      </c>
      <c r="H16" s="4">
        <v>39</v>
      </c>
      <c r="I16" s="4">
        <v>20506</v>
      </c>
      <c r="J16" s="4">
        <v>210760</v>
      </c>
      <c r="K16" s="4">
        <v>210752</v>
      </c>
      <c r="M16" s="4">
        <v>7</v>
      </c>
      <c r="N16" s="4">
        <v>2424</v>
      </c>
      <c r="O16" s="4">
        <v>2792</v>
      </c>
      <c r="P16" s="4">
        <v>558547</v>
      </c>
      <c r="Q16" s="4">
        <v>558528</v>
      </c>
      <c r="R16" s="4">
        <v>100000</v>
      </c>
      <c r="S16" s="4">
        <v>100032</v>
      </c>
      <c r="T16" s="4">
        <v>459</v>
      </c>
      <c r="U16" s="4">
        <v>31934</v>
      </c>
      <c r="V16" s="4">
        <v>222240</v>
      </c>
      <c r="W16" s="4">
        <v>222272</v>
      </c>
      <c r="Y16" s="4">
        <v>7</v>
      </c>
      <c r="Z16" s="4">
        <v>2395</v>
      </c>
      <c r="AA16" s="4">
        <v>2828</v>
      </c>
      <c r="AB16" s="4">
        <v>565594</v>
      </c>
      <c r="AC16" s="4">
        <v>565568</v>
      </c>
      <c r="AD16" s="4">
        <v>100000</v>
      </c>
      <c r="AE16" s="4">
        <v>100032</v>
      </c>
      <c r="AF16" s="4">
        <v>0</v>
      </c>
      <c r="AG16" s="4">
        <v>13500</v>
      </c>
      <c r="AH16" s="4">
        <v>210108</v>
      </c>
      <c r="AI16" s="4">
        <v>210112</v>
      </c>
      <c r="AK16" s="4">
        <v>7</v>
      </c>
      <c r="AL16" s="4">
        <v>2409</v>
      </c>
      <c r="AM16" s="4">
        <v>2810</v>
      </c>
      <c r="AN16" s="4">
        <v>561969</v>
      </c>
      <c r="AO16" s="4">
        <v>561984</v>
      </c>
      <c r="AP16" s="4">
        <v>100000</v>
      </c>
      <c r="AQ16" s="4">
        <v>100032</v>
      </c>
      <c r="AR16" s="4">
        <v>0</v>
      </c>
      <c r="AS16" s="4">
        <v>13511</v>
      </c>
      <c r="AT16" s="4">
        <v>210119</v>
      </c>
      <c r="AU16" s="4">
        <v>210112</v>
      </c>
      <c r="AW16" s="4">
        <v>7</v>
      </c>
      <c r="AX16" s="4">
        <v>2483</v>
      </c>
      <c r="AY16" s="4">
        <v>2720</v>
      </c>
      <c r="AZ16" s="4">
        <v>543968</v>
      </c>
      <c r="BA16" s="4">
        <v>544000</v>
      </c>
      <c r="BB16" s="4">
        <v>100000</v>
      </c>
      <c r="BC16" s="4">
        <v>100032</v>
      </c>
      <c r="BD16" s="4">
        <v>0</v>
      </c>
      <c r="BE16" s="4">
        <v>18955</v>
      </c>
      <c r="BF16" s="4">
        <v>210498</v>
      </c>
      <c r="BG16" s="4">
        <v>210496</v>
      </c>
    </row>
    <row r="17" spans="1:59" x14ac:dyDescent="0.25">
      <c r="A17" s="4">
        <v>8</v>
      </c>
      <c r="B17" s="4">
        <v>2399</v>
      </c>
      <c r="C17" s="4">
        <v>2822</v>
      </c>
      <c r="D17" s="4">
        <v>564375</v>
      </c>
      <c r="E17" s="4">
        <v>564352</v>
      </c>
      <c r="F17" s="4">
        <v>100000</v>
      </c>
      <c r="G17" s="4">
        <v>100032</v>
      </c>
      <c r="H17" s="4">
        <v>31</v>
      </c>
      <c r="I17" s="4">
        <v>20263</v>
      </c>
      <c r="J17" s="4">
        <v>210516</v>
      </c>
      <c r="K17" s="4">
        <v>210496</v>
      </c>
      <c r="M17" s="4">
        <v>8</v>
      </c>
      <c r="N17" s="4">
        <v>2423</v>
      </c>
      <c r="O17" s="4">
        <v>2793</v>
      </c>
      <c r="P17" s="4">
        <v>558641</v>
      </c>
      <c r="Q17" s="4">
        <v>558656</v>
      </c>
      <c r="R17" s="4">
        <v>100000</v>
      </c>
      <c r="S17" s="4">
        <v>100032</v>
      </c>
      <c r="T17" s="4">
        <v>450</v>
      </c>
      <c r="U17" s="4">
        <v>31733</v>
      </c>
      <c r="V17" s="4">
        <v>222038</v>
      </c>
      <c r="W17" s="4">
        <v>222016</v>
      </c>
      <c r="Y17" s="4">
        <v>8</v>
      </c>
      <c r="Z17" s="4">
        <v>2395</v>
      </c>
      <c r="AA17" s="4">
        <v>2828</v>
      </c>
      <c r="AB17" s="4">
        <v>565625</v>
      </c>
      <c r="AC17" s="4">
        <v>565632</v>
      </c>
      <c r="AD17" s="4">
        <v>100000</v>
      </c>
      <c r="AE17" s="4">
        <v>100032</v>
      </c>
      <c r="AF17" s="4">
        <v>0</v>
      </c>
      <c r="AG17" s="4">
        <v>13460</v>
      </c>
      <c r="AH17" s="4">
        <v>210068</v>
      </c>
      <c r="AI17" s="4">
        <v>210048</v>
      </c>
      <c r="AK17" s="4">
        <v>8</v>
      </c>
      <c r="AL17" s="4">
        <v>2409</v>
      </c>
      <c r="AM17" s="4">
        <v>2810</v>
      </c>
      <c r="AN17" s="4">
        <v>562031</v>
      </c>
      <c r="AO17" s="4">
        <v>562048</v>
      </c>
      <c r="AP17" s="4">
        <v>100000</v>
      </c>
      <c r="AQ17" s="4">
        <v>100032</v>
      </c>
      <c r="AR17" s="4">
        <v>0</v>
      </c>
      <c r="AS17" s="4">
        <v>13596</v>
      </c>
      <c r="AT17" s="4">
        <v>210204</v>
      </c>
      <c r="AU17" s="4">
        <v>210176</v>
      </c>
      <c r="AW17" s="4">
        <v>8</v>
      </c>
      <c r="AX17" s="4">
        <v>2484</v>
      </c>
      <c r="AY17" s="4">
        <v>2719</v>
      </c>
      <c r="AZ17" s="4">
        <v>543922</v>
      </c>
      <c r="BA17" s="4">
        <v>543936</v>
      </c>
      <c r="BB17" s="4">
        <v>100000</v>
      </c>
      <c r="BC17" s="4">
        <v>100032</v>
      </c>
      <c r="BD17" s="4">
        <v>0</v>
      </c>
      <c r="BE17" s="4">
        <v>19072</v>
      </c>
      <c r="BF17" s="4">
        <v>210615</v>
      </c>
      <c r="BG17" s="4">
        <v>210624</v>
      </c>
    </row>
    <row r="18" spans="1:59" x14ac:dyDescent="0.25">
      <c r="A18" s="4">
        <v>9</v>
      </c>
      <c r="B18" s="4">
        <v>2399</v>
      </c>
      <c r="C18" s="4">
        <v>2822</v>
      </c>
      <c r="D18" s="4">
        <v>564422</v>
      </c>
      <c r="E18" s="4">
        <v>564416</v>
      </c>
      <c r="F18" s="4">
        <v>100000</v>
      </c>
      <c r="G18" s="4">
        <v>100032</v>
      </c>
      <c r="H18" s="4">
        <v>31</v>
      </c>
      <c r="I18" s="4">
        <v>20253</v>
      </c>
      <c r="J18" s="4">
        <v>210506</v>
      </c>
      <c r="K18" s="4">
        <v>210496</v>
      </c>
      <c r="M18" s="4">
        <v>9</v>
      </c>
      <c r="N18" s="4">
        <v>2422</v>
      </c>
      <c r="O18" s="4">
        <v>2794</v>
      </c>
      <c r="P18" s="4">
        <v>558781</v>
      </c>
      <c r="Q18" s="4">
        <v>558784</v>
      </c>
      <c r="R18" s="4">
        <v>100000</v>
      </c>
      <c r="S18" s="4">
        <v>100032</v>
      </c>
      <c r="T18" s="4">
        <v>444</v>
      </c>
      <c r="U18" s="4">
        <v>31598</v>
      </c>
      <c r="V18" s="4">
        <v>221903</v>
      </c>
      <c r="W18" s="4">
        <v>221888</v>
      </c>
      <c r="Y18" s="4">
        <v>9</v>
      </c>
      <c r="Z18" s="4">
        <v>2395</v>
      </c>
      <c r="AA18" s="4">
        <v>2828</v>
      </c>
      <c r="AB18" s="4">
        <v>565578</v>
      </c>
      <c r="AC18" s="4">
        <v>565568</v>
      </c>
      <c r="AD18" s="4">
        <v>100000</v>
      </c>
      <c r="AE18" s="4">
        <v>100032</v>
      </c>
      <c r="AF18" s="4">
        <v>0</v>
      </c>
      <c r="AG18" s="4">
        <v>13132</v>
      </c>
      <c r="AH18" s="4">
        <v>209740</v>
      </c>
      <c r="AI18" s="4">
        <v>209728</v>
      </c>
      <c r="AK18" s="4">
        <v>9</v>
      </c>
      <c r="AL18" s="4">
        <v>2409</v>
      </c>
      <c r="AM18" s="4">
        <v>2810</v>
      </c>
      <c r="AN18" s="4">
        <v>562078</v>
      </c>
      <c r="AO18" s="4">
        <v>562048</v>
      </c>
      <c r="AP18" s="4">
        <v>100000</v>
      </c>
      <c r="AQ18" s="4">
        <v>100032</v>
      </c>
      <c r="AR18" s="4">
        <v>0</v>
      </c>
      <c r="AS18" s="4">
        <v>13832</v>
      </c>
      <c r="AT18" s="4">
        <v>210440</v>
      </c>
      <c r="AU18" s="4">
        <v>210432</v>
      </c>
      <c r="AW18" s="4">
        <v>9</v>
      </c>
      <c r="AX18" s="4">
        <v>2484</v>
      </c>
      <c r="AY18" s="4">
        <v>2719</v>
      </c>
      <c r="AZ18" s="4">
        <v>543859</v>
      </c>
      <c r="BA18" s="4">
        <v>543872</v>
      </c>
      <c r="BB18" s="4">
        <v>100000</v>
      </c>
      <c r="BC18" s="4">
        <v>100032</v>
      </c>
      <c r="BD18" s="4">
        <v>0</v>
      </c>
      <c r="BE18" s="4">
        <v>18938</v>
      </c>
      <c r="BF18" s="4">
        <v>210481</v>
      </c>
      <c r="BG18" s="4">
        <v>210496</v>
      </c>
    </row>
    <row r="19" spans="1:59" x14ac:dyDescent="0.25">
      <c r="A19" s="4">
        <v>10</v>
      </c>
      <c r="B19" s="4">
        <v>2398</v>
      </c>
      <c r="C19" s="4">
        <v>2823</v>
      </c>
      <c r="D19" s="4">
        <v>564484</v>
      </c>
      <c r="E19" s="4">
        <v>564480</v>
      </c>
      <c r="F19" s="4">
        <v>100000</v>
      </c>
      <c r="G19" s="4">
        <v>100032</v>
      </c>
      <c r="H19" s="4">
        <v>5</v>
      </c>
      <c r="I19" s="4">
        <v>19525</v>
      </c>
      <c r="J19" s="4">
        <v>209775</v>
      </c>
      <c r="K19" s="4">
        <v>209792</v>
      </c>
      <c r="M19" s="4">
        <v>10</v>
      </c>
      <c r="N19" s="4">
        <v>2421</v>
      </c>
      <c r="O19" s="4">
        <v>2795</v>
      </c>
      <c r="P19" s="4">
        <v>558953</v>
      </c>
      <c r="Q19" s="4">
        <v>558976</v>
      </c>
      <c r="R19" s="4">
        <v>100000</v>
      </c>
      <c r="S19" s="4">
        <v>100032</v>
      </c>
      <c r="T19" s="4">
        <v>463</v>
      </c>
      <c r="U19" s="4">
        <v>31974</v>
      </c>
      <c r="V19" s="4">
        <v>222280</v>
      </c>
      <c r="W19" s="4">
        <v>222272</v>
      </c>
      <c r="AK19" s="4">
        <v>10</v>
      </c>
      <c r="AL19" s="4">
        <v>2409</v>
      </c>
      <c r="AM19" s="4">
        <v>2810</v>
      </c>
      <c r="AN19" s="4">
        <v>562141</v>
      </c>
      <c r="AO19" s="4">
        <v>562112</v>
      </c>
      <c r="AP19" s="4">
        <v>100000</v>
      </c>
      <c r="AQ19" s="4">
        <v>100032</v>
      </c>
      <c r="AR19" s="4">
        <v>0</v>
      </c>
      <c r="AS19" s="4">
        <v>13718</v>
      </c>
      <c r="AT19" s="4">
        <v>210326</v>
      </c>
      <c r="AU19" s="4">
        <v>210304</v>
      </c>
      <c r="AW19" s="4">
        <v>10</v>
      </c>
      <c r="AX19" s="4">
        <v>2484</v>
      </c>
      <c r="AY19" s="4">
        <v>2719</v>
      </c>
      <c r="AZ19" s="4">
        <v>543797</v>
      </c>
      <c r="BA19" s="4">
        <v>543808</v>
      </c>
      <c r="BB19" s="4">
        <v>100000</v>
      </c>
      <c r="BC19" s="4">
        <v>100032</v>
      </c>
      <c r="BD19" s="4">
        <v>0</v>
      </c>
      <c r="BE19" s="4">
        <v>18982</v>
      </c>
      <c r="BF19" s="4">
        <v>210525</v>
      </c>
      <c r="BG19" s="4">
        <v>210496</v>
      </c>
    </row>
    <row r="20" spans="1:59" x14ac:dyDescent="0.25">
      <c r="A20" s="4">
        <v>11</v>
      </c>
      <c r="B20" s="4">
        <v>2398</v>
      </c>
      <c r="C20" s="4">
        <v>2823</v>
      </c>
      <c r="D20" s="4">
        <v>564562</v>
      </c>
      <c r="E20" s="4">
        <v>564544</v>
      </c>
      <c r="F20" s="4">
        <v>100000</v>
      </c>
      <c r="G20" s="4">
        <v>100032</v>
      </c>
      <c r="H20" s="4">
        <v>13</v>
      </c>
      <c r="I20" s="4">
        <v>19742</v>
      </c>
      <c r="J20" s="4">
        <v>209993</v>
      </c>
      <c r="K20" s="4">
        <v>209984</v>
      </c>
      <c r="M20" s="4">
        <v>11</v>
      </c>
      <c r="N20" s="4">
        <v>2421</v>
      </c>
      <c r="O20" s="4">
        <v>2796</v>
      </c>
      <c r="P20" s="4">
        <v>559188</v>
      </c>
      <c r="Q20" s="4">
        <v>559168</v>
      </c>
      <c r="R20" s="4">
        <v>100000</v>
      </c>
      <c r="S20" s="4">
        <v>100032</v>
      </c>
      <c r="T20" s="4">
        <v>458</v>
      </c>
      <c r="U20" s="4">
        <v>31879</v>
      </c>
      <c r="V20" s="4">
        <v>222185</v>
      </c>
      <c r="W20" s="4">
        <v>222208</v>
      </c>
      <c r="AW20" s="4">
        <v>11</v>
      </c>
      <c r="AX20" s="4">
        <v>2484</v>
      </c>
      <c r="AY20" s="4">
        <v>2719</v>
      </c>
      <c r="AZ20" s="4">
        <v>543750</v>
      </c>
      <c r="BA20" s="4">
        <v>543744</v>
      </c>
      <c r="BB20" s="4">
        <v>100000</v>
      </c>
      <c r="BC20" s="4">
        <v>100032</v>
      </c>
      <c r="BD20" s="4">
        <v>0</v>
      </c>
      <c r="BE20" s="4">
        <v>19323</v>
      </c>
      <c r="BF20" s="4">
        <v>210867</v>
      </c>
      <c r="BG20" s="4">
        <v>210880</v>
      </c>
    </row>
    <row r="21" spans="1:59" x14ac:dyDescent="0.25">
      <c r="A21" s="4">
        <v>12</v>
      </c>
      <c r="B21" s="4">
        <v>2398</v>
      </c>
      <c r="C21" s="4">
        <v>2823</v>
      </c>
      <c r="D21" s="4">
        <v>564641</v>
      </c>
      <c r="E21" s="4">
        <v>564672</v>
      </c>
      <c r="F21" s="4">
        <v>100000</v>
      </c>
      <c r="G21" s="4">
        <v>100032</v>
      </c>
      <c r="H21" s="4">
        <v>0</v>
      </c>
      <c r="I21" s="4">
        <v>18944</v>
      </c>
      <c r="J21" s="4">
        <v>209191</v>
      </c>
      <c r="K21" s="4">
        <v>209216</v>
      </c>
      <c r="M21" s="4">
        <v>12</v>
      </c>
      <c r="N21" s="4">
        <v>2421</v>
      </c>
      <c r="O21" s="4">
        <v>2796</v>
      </c>
      <c r="P21" s="4">
        <v>559281</v>
      </c>
      <c r="Q21" s="4">
        <v>559296</v>
      </c>
      <c r="R21" s="4">
        <v>100000</v>
      </c>
      <c r="S21" s="4">
        <v>100032</v>
      </c>
      <c r="T21" s="4">
        <v>448</v>
      </c>
      <c r="U21" s="4">
        <v>31687</v>
      </c>
      <c r="V21" s="4">
        <v>221992</v>
      </c>
      <c r="W21" s="4">
        <v>222016</v>
      </c>
    </row>
    <row r="22" spans="1:59" x14ac:dyDescent="0.25">
      <c r="A22" s="4">
        <v>13</v>
      </c>
      <c r="B22" s="4">
        <v>2398</v>
      </c>
      <c r="C22" s="4">
        <v>2823</v>
      </c>
      <c r="D22" s="4">
        <v>564766</v>
      </c>
      <c r="E22" s="4">
        <v>564736</v>
      </c>
      <c r="F22" s="4">
        <v>100000</v>
      </c>
      <c r="G22" s="4">
        <v>100032</v>
      </c>
      <c r="H22" s="4">
        <v>0</v>
      </c>
      <c r="I22" s="4">
        <v>18468</v>
      </c>
      <c r="J22" s="4">
        <v>208713</v>
      </c>
      <c r="K22" s="4">
        <v>208704</v>
      </c>
      <c r="M22" s="4">
        <v>13</v>
      </c>
      <c r="N22" s="4">
        <v>2420</v>
      </c>
      <c r="O22" s="4">
        <v>2797</v>
      </c>
      <c r="P22" s="4">
        <v>559391</v>
      </c>
      <c r="Q22" s="4">
        <v>559360</v>
      </c>
      <c r="R22" s="4">
        <v>100000</v>
      </c>
      <c r="S22" s="4">
        <v>100032</v>
      </c>
      <c r="T22" s="4">
        <v>461</v>
      </c>
      <c r="U22" s="4">
        <v>31948</v>
      </c>
      <c r="V22" s="4">
        <v>222254</v>
      </c>
      <c r="W22" s="4">
        <v>222272</v>
      </c>
    </row>
    <row r="23" spans="1:59" x14ac:dyDescent="0.25">
      <c r="A23" s="4">
        <v>14</v>
      </c>
      <c r="B23" s="4">
        <v>2398</v>
      </c>
      <c r="C23" s="4">
        <v>2824</v>
      </c>
      <c r="D23" s="4">
        <v>564938</v>
      </c>
      <c r="E23" s="4">
        <v>564928</v>
      </c>
      <c r="F23" s="4">
        <v>100000</v>
      </c>
      <c r="G23" s="4">
        <v>100032</v>
      </c>
      <c r="H23" s="4">
        <v>5</v>
      </c>
      <c r="I23" s="4">
        <v>19527</v>
      </c>
      <c r="J23" s="4">
        <v>209291</v>
      </c>
      <c r="K23" s="4">
        <v>209280</v>
      </c>
      <c r="M23" s="4">
        <v>14</v>
      </c>
      <c r="N23" s="4">
        <v>2419</v>
      </c>
      <c r="O23" s="4">
        <v>2798</v>
      </c>
      <c r="P23" s="4">
        <v>559547</v>
      </c>
      <c r="Q23" s="4">
        <v>559552</v>
      </c>
      <c r="R23" s="4">
        <v>100000</v>
      </c>
      <c r="S23" s="4">
        <v>100032</v>
      </c>
      <c r="T23" s="4">
        <v>455</v>
      </c>
      <c r="U23" s="4">
        <v>31831</v>
      </c>
      <c r="V23" s="4">
        <v>222137</v>
      </c>
      <c r="W23" s="4">
        <v>222144</v>
      </c>
    </row>
    <row r="24" spans="1:59" x14ac:dyDescent="0.25">
      <c r="M24" s="4">
        <v>15</v>
      </c>
      <c r="N24" s="4">
        <v>2418</v>
      </c>
      <c r="O24" s="4">
        <v>2799</v>
      </c>
      <c r="P24" s="4">
        <v>559797</v>
      </c>
      <c r="Q24" s="4">
        <v>559808</v>
      </c>
      <c r="R24" s="4">
        <v>100000</v>
      </c>
      <c r="S24" s="4">
        <v>100032</v>
      </c>
      <c r="T24" s="4">
        <v>466</v>
      </c>
      <c r="U24" s="4">
        <v>32067</v>
      </c>
      <c r="V24" s="4">
        <v>222374</v>
      </c>
      <c r="W24" s="4">
        <v>222400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RxVar</vt:lpstr>
      <vt:lpstr>trial1run1</vt:lpstr>
      <vt:lpstr>trial1run1-hand</vt:lpstr>
      <vt:lpstr>trial1run1Copy</vt:lpstr>
      <vt:lpstr>trial1run2</vt:lpstr>
      <vt:lpstr>trial1run2Copy</vt:lpstr>
      <vt:lpstr>trial2run1</vt:lpstr>
      <vt:lpstr>trial2run1Copy</vt:lpstr>
      <vt:lpstr>trial3run1-oldCalibration</vt:lpstr>
      <vt:lpstr>trial3run1</vt:lpstr>
      <vt:lpstr>trial3run1Copy</vt:lpstr>
      <vt:lpstr>lastTrial</vt:lpstr>
      <vt:lpstr>lastTrialCopy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Loren Atwood</dc:creator>
  <cp:lastModifiedBy>Loren Atwood</cp:lastModifiedBy>
  <dcterms:created xsi:type="dcterms:W3CDTF">2017-03-24T16:46:07Z</dcterms:created>
  <dcterms:modified xsi:type="dcterms:W3CDTF">2017-04-18T18:31:57Z</dcterms:modified>
</cp:coreProperties>
</file>